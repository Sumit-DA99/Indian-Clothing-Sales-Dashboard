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9a901caee8ddf1e/ドキュメント/"/>
    </mc:Choice>
  </mc:AlternateContent>
  <xr:revisionPtr revIDLastSave="2" documentId="8_{0D29BA46-4BE2-4578-84A8-75CF2F6850E5}" xr6:coauthVersionLast="47" xr6:coauthVersionMax="47" xr10:uidLastSave="{8BEB02E7-7825-4954-A2BE-C32BC47E4E89}"/>
  <bookViews>
    <workbookView xWindow="-108" yWindow="-108" windowWidth="23256" windowHeight="12456" activeTab="3" xr2:uid="{00000000-000D-0000-FFFF-FFFF00000000}"/>
  </bookViews>
  <sheets>
    <sheet name="SalesData" sheetId="1" r:id="rId1"/>
    <sheet name="PT_Brand" sheetId="3" r:id="rId2"/>
    <sheet name="PT_Category" sheetId="6" r:id="rId3"/>
    <sheet name="Dashboard" sheetId="2" r:id="rId4"/>
    <sheet name="PT_State" sheetId="7" r:id="rId5"/>
    <sheet name="PT_Payment Mode" sheetId="8" r:id="rId6"/>
    <sheet name="PT_Channel" sheetId="9" r:id="rId7"/>
    <sheet name="PT_Monthly" sheetId="11" r:id="rId8"/>
    <sheet name="KPI" sheetId="15" r:id="rId9"/>
  </sheets>
  <definedNames>
    <definedName name="Slicer_Brand">#N/A</definedName>
    <definedName name="Slicer_Category">#N/A</definedName>
    <definedName name="Slicer_Month">#N/A</definedName>
    <definedName name="Slicer_Payment_Mode">#N/A</definedName>
    <definedName name="Slicer_Sales_Channel">#N/A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2" l="1"/>
  <c r="B8" i="2"/>
  <c r="B7" i="2"/>
  <c r="B6"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 i="1"/>
  <c r="B5"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 i="1"/>
  <c r="B3" i="2" s="1"/>
  <c r="T3" i="1"/>
  <c r="V3" i="1" s="1"/>
  <c r="T4" i="1"/>
  <c r="V4" i="1" s="1"/>
  <c r="T5" i="1"/>
  <c r="V5" i="1" s="1"/>
  <c r="T6" i="1"/>
  <c r="V6" i="1" s="1"/>
  <c r="T7" i="1"/>
  <c r="V7" i="1" s="1"/>
  <c r="T8" i="1"/>
  <c r="V8" i="1" s="1"/>
  <c r="T9" i="1"/>
  <c r="V9" i="1" s="1"/>
  <c r="T10" i="1"/>
  <c r="V10" i="1" s="1"/>
  <c r="T11" i="1"/>
  <c r="V11" i="1" s="1"/>
  <c r="T12" i="1"/>
  <c r="V12" i="1" s="1"/>
  <c r="T13" i="1"/>
  <c r="V13" i="1" s="1"/>
  <c r="T14" i="1"/>
  <c r="V14" i="1" s="1"/>
  <c r="T15" i="1"/>
  <c r="V15" i="1" s="1"/>
  <c r="T16" i="1"/>
  <c r="V16" i="1" s="1"/>
  <c r="T17" i="1"/>
  <c r="V17" i="1" s="1"/>
  <c r="T18" i="1"/>
  <c r="V18" i="1" s="1"/>
  <c r="T19" i="1"/>
  <c r="V19" i="1" s="1"/>
  <c r="T20" i="1"/>
  <c r="V20" i="1" s="1"/>
  <c r="T21" i="1"/>
  <c r="V21" i="1" s="1"/>
  <c r="T22" i="1"/>
  <c r="V22" i="1" s="1"/>
  <c r="T23" i="1"/>
  <c r="V23" i="1" s="1"/>
  <c r="T24" i="1"/>
  <c r="V24" i="1" s="1"/>
  <c r="T25" i="1"/>
  <c r="V25" i="1" s="1"/>
  <c r="T26" i="1"/>
  <c r="V26" i="1" s="1"/>
  <c r="T27" i="1"/>
  <c r="V27" i="1" s="1"/>
  <c r="T28" i="1"/>
  <c r="V28" i="1" s="1"/>
  <c r="T29" i="1"/>
  <c r="V29" i="1" s="1"/>
  <c r="T30" i="1"/>
  <c r="V30" i="1" s="1"/>
  <c r="T31" i="1"/>
  <c r="V31" i="1" s="1"/>
  <c r="T32" i="1"/>
  <c r="V32" i="1" s="1"/>
  <c r="T33" i="1"/>
  <c r="V33" i="1" s="1"/>
  <c r="T34" i="1"/>
  <c r="V34" i="1" s="1"/>
  <c r="T35" i="1"/>
  <c r="V35" i="1" s="1"/>
  <c r="T36" i="1"/>
  <c r="V36" i="1" s="1"/>
  <c r="T37" i="1"/>
  <c r="V37" i="1" s="1"/>
  <c r="T38" i="1"/>
  <c r="V38" i="1" s="1"/>
  <c r="T39" i="1"/>
  <c r="V39" i="1" s="1"/>
  <c r="T40" i="1"/>
  <c r="V40" i="1" s="1"/>
  <c r="T41" i="1"/>
  <c r="V41" i="1" s="1"/>
  <c r="T42" i="1"/>
  <c r="V42" i="1" s="1"/>
  <c r="T43" i="1"/>
  <c r="V43" i="1" s="1"/>
  <c r="T44" i="1"/>
  <c r="V44" i="1" s="1"/>
  <c r="T45" i="1"/>
  <c r="V45" i="1" s="1"/>
  <c r="T46" i="1"/>
  <c r="V46" i="1" s="1"/>
  <c r="T47" i="1"/>
  <c r="V47" i="1" s="1"/>
  <c r="T48" i="1"/>
  <c r="V48" i="1" s="1"/>
  <c r="T49" i="1"/>
  <c r="V49" i="1" s="1"/>
  <c r="T50" i="1"/>
  <c r="V50" i="1" s="1"/>
  <c r="T51" i="1"/>
  <c r="V51" i="1" s="1"/>
  <c r="T52" i="1"/>
  <c r="V52" i="1" s="1"/>
  <c r="T53" i="1"/>
  <c r="V53" i="1" s="1"/>
  <c r="T54" i="1"/>
  <c r="V54" i="1" s="1"/>
  <c r="T55" i="1"/>
  <c r="V55" i="1" s="1"/>
  <c r="T56" i="1"/>
  <c r="V56" i="1" s="1"/>
  <c r="T57" i="1"/>
  <c r="V57" i="1" s="1"/>
  <c r="T58" i="1"/>
  <c r="V58" i="1" s="1"/>
  <c r="T59" i="1"/>
  <c r="V59" i="1" s="1"/>
  <c r="T60" i="1"/>
  <c r="V60" i="1" s="1"/>
  <c r="T61" i="1"/>
  <c r="V61" i="1" s="1"/>
  <c r="T62" i="1"/>
  <c r="V62" i="1" s="1"/>
  <c r="T63" i="1"/>
  <c r="V63" i="1" s="1"/>
  <c r="T64" i="1"/>
  <c r="V64" i="1" s="1"/>
  <c r="T65" i="1"/>
  <c r="V65" i="1" s="1"/>
  <c r="T66" i="1"/>
  <c r="V66" i="1" s="1"/>
  <c r="T67" i="1"/>
  <c r="V67" i="1" s="1"/>
  <c r="T68" i="1"/>
  <c r="V68" i="1" s="1"/>
  <c r="T69" i="1"/>
  <c r="V69" i="1" s="1"/>
  <c r="T70" i="1"/>
  <c r="V70" i="1" s="1"/>
  <c r="T71" i="1"/>
  <c r="V71" i="1" s="1"/>
  <c r="T72" i="1"/>
  <c r="V72" i="1" s="1"/>
  <c r="T73" i="1"/>
  <c r="V73" i="1" s="1"/>
  <c r="T74" i="1"/>
  <c r="V74" i="1" s="1"/>
  <c r="T75" i="1"/>
  <c r="V75" i="1" s="1"/>
  <c r="T76" i="1"/>
  <c r="V76" i="1" s="1"/>
  <c r="T77" i="1"/>
  <c r="V77" i="1" s="1"/>
  <c r="T78" i="1"/>
  <c r="V78" i="1" s="1"/>
  <c r="T79" i="1"/>
  <c r="V79" i="1" s="1"/>
  <c r="T80" i="1"/>
  <c r="V80" i="1" s="1"/>
  <c r="T81" i="1"/>
  <c r="V81" i="1" s="1"/>
  <c r="T82" i="1"/>
  <c r="V82" i="1" s="1"/>
  <c r="T83" i="1"/>
  <c r="V83" i="1" s="1"/>
  <c r="T84" i="1"/>
  <c r="V84" i="1" s="1"/>
  <c r="T85" i="1"/>
  <c r="V85" i="1" s="1"/>
  <c r="T86" i="1"/>
  <c r="V86" i="1" s="1"/>
  <c r="T87" i="1"/>
  <c r="V87" i="1" s="1"/>
  <c r="T88" i="1"/>
  <c r="V88" i="1" s="1"/>
  <c r="T89" i="1"/>
  <c r="V89" i="1" s="1"/>
  <c r="T90" i="1"/>
  <c r="V90" i="1" s="1"/>
  <c r="T91" i="1"/>
  <c r="V91" i="1" s="1"/>
  <c r="T92" i="1"/>
  <c r="V92" i="1" s="1"/>
  <c r="T93" i="1"/>
  <c r="V93" i="1" s="1"/>
  <c r="T94" i="1"/>
  <c r="V94" i="1" s="1"/>
  <c r="T95" i="1"/>
  <c r="V95" i="1" s="1"/>
  <c r="T96" i="1"/>
  <c r="V96" i="1" s="1"/>
  <c r="T97" i="1"/>
  <c r="V97" i="1" s="1"/>
  <c r="T98" i="1"/>
  <c r="V98" i="1" s="1"/>
  <c r="T99" i="1"/>
  <c r="V99" i="1" s="1"/>
  <c r="T100" i="1"/>
  <c r="V100" i="1" s="1"/>
  <c r="T101" i="1"/>
  <c r="V101" i="1" s="1"/>
  <c r="T102" i="1"/>
  <c r="V102" i="1" s="1"/>
  <c r="T103" i="1"/>
  <c r="V103" i="1" s="1"/>
  <c r="T104" i="1"/>
  <c r="V104" i="1" s="1"/>
  <c r="T105" i="1"/>
  <c r="V105" i="1" s="1"/>
  <c r="T106" i="1"/>
  <c r="V106" i="1" s="1"/>
  <c r="T107" i="1"/>
  <c r="V107" i="1" s="1"/>
  <c r="T108" i="1"/>
  <c r="V108" i="1" s="1"/>
  <c r="T109" i="1"/>
  <c r="V109" i="1" s="1"/>
  <c r="T110" i="1"/>
  <c r="V110" i="1" s="1"/>
  <c r="T111" i="1"/>
  <c r="V111" i="1" s="1"/>
  <c r="T112" i="1"/>
  <c r="V112" i="1" s="1"/>
  <c r="T113" i="1"/>
  <c r="V113" i="1" s="1"/>
  <c r="T114" i="1"/>
  <c r="V114" i="1" s="1"/>
  <c r="T115" i="1"/>
  <c r="V115" i="1" s="1"/>
  <c r="T116" i="1"/>
  <c r="V116" i="1" s="1"/>
  <c r="T117" i="1"/>
  <c r="V117" i="1" s="1"/>
  <c r="T118" i="1"/>
  <c r="V118" i="1" s="1"/>
  <c r="T119" i="1"/>
  <c r="V119" i="1" s="1"/>
  <c r="T120" i="1"/>
  <c r="V120" i="1" s="1"/>
  <c r="T121" i="1"/>
  <c r="V121" i="1" s="1"/>
  <c r="T122" i="1"/>
  <c r="V122" i="1" s="1"/>
  <c r="T123" i="1"/>
  <c r="V123" i="1" s="1"/>
  <c r="T124" i="1"/>
  <c r="V124" i="1" s="1"/>
  <c r="T125" i="1"/>
  <c r="V125" i="1" s="1"/>
  <c r="T126" i="1"/>
  <c r="V126" i="1" s="1"/>
  <c r="T127" i="1"/>
  <c r="V127" i="1" s="1"/>
  <c r="T128" i="1"/>
  <c r="V128" i="1" s="1"/>
  <c r="T129" i="1"/>
  <c r="V129" i="1" s="1"/>
  <c r="T130" i="1"/>
  <c r="V130" i="1" s="1"/>
  <c r="T131" i="1"/>
  <c r="V131" i="1" s="1"/>
  <c r="T132" i="1"/>
  <c r="V132" i="1" s="1"/>
  <c r="T133" i="1"/>
  <c r="V133" i="1" s="1"/>
  <c r="T134" i="1"/>
  <c r="V134" i="1" s="1"/>
  <c r="T135" i="1"/>
  <c r="V135" i="1" s="1"/>
  <c r="T136" i="1"/>
  <c r="V136" i="1" s="1"/>
  <c r="T137" i="1"/>
  <c r="V137" i="1" s="1"/>
  <c r="T138" i="1"/>
  <c r="V138" i="1" s="1"/>
  <c r="T139" i="1"/>
  <c r="V139" i="1" s="1"/>
  <c r="T140" i="1"/>
  <c r="V140" i="1" s="1"/>
  <c r="T141" i="1"/>
  <c r="V141" i="1" s="1"/>
  <c r="T142" i="1"/>
  <c r="V142" i="1" s="1"/>
  <c r="T143" i="1"/>
  <c r="V143" i="1" s="1"/>
  <c r="T144" i="1"/>
  <c r="V144" i="1" s="1"/>
  <c r="T145" i="1"/>
  <c r="V145" i="1" s="1"/>
  <c r="T146" i="1"/>
  <c r="V146" i="1" s="1"/>
  <c r="T147" i="1"/>
  <c r="V147" i="1" s="1"/>
  <c r="T148" i="1"/>
  <c r="V148" i="1" s="1"/>
  <c r="T149" i="1"/>
  <c r="V149" i="1" s="1"/>
  <c r="T150" i="1"/>
  <c r="V150" i="1" s="1"/>
  <c r="T151" i="1"/>
  <c r="V151" i="1" s="1"/>
  <c r="T152" i="1"/>
  <c r="V152" i="1" s="1"/>
  <c r="T153" i="1"/>
  <c r="V153" i="1" s="1"/>
  <c r="T154" i="1"/>
  <c r="V154" i="1" s="1"/>
  <c r="T155" i="1"/>
  <c r="V155" i="1" s="1"/>
  <c r="T156" i="1"/>
  <c r="V156" i="1" s="1"/>
  <c r="T157" i="1"/>
  <c r="V157" i="1" s="1"/>
  <c r="T158" i="1"/>
  <c r="V158" i="1" s="1"/>
  <c r="T159" i="1"/>
  <c r="V159" i="1" s="1"/>
  <c r="T160" i="1"/>
  <c r="V160" i="1" s="1"/>
  <c r="T161" i="1"/>
  <c r="V161" i="1" s="1"/>
  <c r="T162" i="1"/>
  <c r="V162" i="1" s="1"/>
  <c r="T163" i="1"/>
  <c r="V163" i="1" s="1"/>
  <c r="T164" i="1"/>
  <c r="V164" i="1" s="1"/>
  <c r="T165" i="1"/>
  <c r="V165" i="1" s="1"/>
  <c r="T166" i="1"/>
  <c r="V166" i="1" s="1"/>
  <c r="T167" i="1"/>
  <c r="V167" i="1" s="1"/>
  <c r="T168" i="1"/>
  <c r="V168" i="1" s="1"/>
  <c r="T169" i="1"/>
  <c r="V169" i="1" s="1"/>
  <c r="T170" i="1"/>
  <c r="V170" i="1" s="1"/>
  <c r="T171" i="1"/>
  <c r="V171" i="1" s="1"/>
  <c r="T172" i="1"/>
  <c r="V172" i="1" s="1"/>
  <c r="T173" i="1"/>
  <c r="V173" i="1" s="1"/>
  <c r="T174" i="1"/>
  <c r="V174" i="1" s="1"/>
  <c r="T175" i="1"/>
  <c r="V175" i="1" s="1"/>
  <c r="T176" i="1"/>
  <c r="V176" i="1" s="1"/>
  <c r="T177" i="1"/>
  <c r="V177" i="1" s="1"/>
  <c r="T178" i="1"/>
  <c r="V178" i="1" s="1"/>
  <c r="T179" i="1"/>
  <c r="V179" i="1" s="1"/>
  <c r="T180" i="1"/>
  <c r="V180" i="1" s="1"/>
  <c r="T181" i="1"/>
  <c r="V181" i="1" s="1"/>
  <c r="T182" i="1"/>
  <c r="V182" i="1" s="1"/>
  <c r="T183" i="1"/>
  <c r="V183" i="1" s="1"/>
  <c r="T184" i="1"/>
  <c r="V184" i="1" s="1"/>
  <c r="T185" i="1"/>
  <c r="V185" i="1" s="1"/>
  <c r="T186" i="1"/>
  <c r="V186" i="1" s="1"/>
  <c r="T187" i="1"/>
  <c r="V187" i="1" s="1"/>
  <c r="T188" i="1"/>
  <c r="V188" i="1" s="1"/>
  <c r="T189" i="1"/>
  <c r="V189" i="1" s="1"/>
  <c r="T190" i="1"/>
  <c r="V190" i="1" s="1"/>
  <c r="T191" i="1"/>
  <c r="V191" i="1" s="1"/>
  <c r="T192" i="1"/>
  <c r="V192" i="1" s="1"/>
  <c r="T193" i="1"/>
  <c r="V193" i="1" s="1"/>
  <c r="T194" i="1"/>
  <c r="V194" i="1" s="1"/>
  <c r="T195" i="1"/>
  <c r="V195" i="1" s="1"/>
  <c r="T196" i="1"/>
  <c r="V196" i="1" s="1"/>
  <c r="T197" i="1"/>
  <c r="V197" i="1" s="1"/>
  <c r="T198" i="1"/>
  <c r="V198" i="1" s="1"/>
  <c r="T199" i="1"/>
  <c r="V199" i="1" s="1"/>
  <c r="T200" i="1"/>
  <c r="V200" i="1" s="1"/>
  <c r="T201" i="1"/>
  <c r="V201" i="1" s="1"/>
  <c r="T2" i="1"/>
  <c r="B2" i="2" s="1"/>
  <c r="L11" i="2"/>
  <c r="D11" i="2"/>
  <c r="N17" i="2"/>
  <c r="F17" i="2"/>
  <c r="P11" i="2"/>
  <c r="H11" i="2"/>
  <c r="V2" i="1" l="1"/>
  <c r="B4" i="2" s="1"/>
</calcChain>
</file>

<file path=xl/sharedStrings.xml><?xml version="1.0" encoding="utf-8"?>
<sst xmlns="http://schemas.openxmlformats.org/spreadsheetml/2006/main" count="3290" uniqueCount="547">
  <si>
    <t>Order ID</t>
  </si>
  <si>
    <t>Order Date</t>
  </si>
  <si>
    <t>Customer Name</t>
  </si>
  <si>
    <t>Customer ID</t>
  </si>
  <si>
    <t>Gender</t>
  </si>
  <si>
    <t>Age</t>
  </si>
  <si>
    <t>State</t>
  </si>
  <si>
    <t>City</t>
  </si>
  <si>
    <t>Category</t>
  </si>
  <si>
    <t>Sub Category</t>
  </si>
  <si>
    <t>Product</t>
  </si>
  <si>
    <t>Brand</t>
  </si>
  <si>
    <t>Size</t>
  </si>
  <si>
    <t>Color</t>
  </si>
  <si>
    <t>Quantity</t>
  </si>
  <si>
    <t>Unit Cost</t>
  </si>
  <si>
    <t>Unit Price</t>
  </si>
  <si>
    <t>Discount %</t>
  </si>
  <si>
    <t>Payment Mode</t>
  </si>
  <si>
    <t>Sales Channel</t>
  </si>
  <si>
    <t>Order Status</t>
  </si>
  <si>
    <t>ORD1001</t>
  </si>
  <si>
    <t>23-10-2025</t>
  </si>
  <si>
    <t xml:space="preserve">Pooja  </t>
  </si>
  <si>
    <t>CUST174</t>
  </si>
  <si>
    <t>Female</t>
  </si>
  <si>
    <t>Rajasthan</t>
  </si>
  <si>
    <t>Jaipur</t>
  </si>
  <si>
    <t>Kids</t>
  </si>
  <si>
    <t>Tshirt</t>
  </si>
  <si>
    <t>Roadster</t>
  </si>
  <si>
    <t>XL</t>
  </si>
  <si>
    <t>White</t>
  </si>
  <si>
    <t>Cash</t>
  </si>
  <si>
    <t>Offline</t>
  </si>
  <si>
    <t>Delivered</t>
  </si>
  <si>
    <t>ORD1002</t>
  </si>
  <si>
    <t>26-08-2025</t>
  </si>
  <si>
    <t>Vikas</t>
  </si>
  <si>
    <t>CUST165</t>
  </si>
  <si>
    <t>Maharashtra</t>
  </si>
  <si>
    <t>Mumbai</t>
  </si>
  <si>
    <t>M</t>
  </si>
  <si>
    <t>Blue</t>
  </si>
  <si>
    <t>UPI</t>
  </si>
  <si>
    <t>Online</t>
  </si>
  <si>
    <t>Returned</t>
  </si>
  <si>
    <t>ORD1003</t>
  </si>
  <si>
    <t>19-11-2025</t>
  </si>
  <si>
    <t>Amit</t>
  </si>
  <si>
    <t>CUST148</t>
  </si>
  <si>
    <t>Male</t>
  </si>
  <si>
    <t>Delhi</t>
  </si>
  <si>
    <t>Women</t>
  </si>
  <si>
    <t>Kurti</t>
  </si>
  <si>
    <t>Biba</t>
  </si>
  <si>
    <t>S</t>
  </si>
  <si>
    <t>Black</t>
  </si>
  <si>
    <t>ORD1004</t>
  </si>
  <si>
    <t>10-05-2025</t>
  </si>
  <si>
    <t>Neha</t>
  </si>
  <si>
    <t>CUST146</t>
  </si>
  <si>
    <t>Karnataka</t>
  </si>
  <si>
    <t>Bengaluru</t>
  </si>
  <si>
    <t>Saree</t>
  </si>
  <si>
    <t>Puma</t>
  </si>
  <si>
    <t>Card</t>
  </si>
  <si>
    <t>ORD1005</t>
  </si>
  <si>
    <t>Sumit</t>
  </si>
  <si>
    <t>CUST179</t>
  </si>
  <si>
    <t>L</t>
  </si>
  <si>
    <t>Green</t>
  </si>
  <si>
    <t>ORD1006</t>
  </si>
  <si>
    <t>27-01-2025</t>
  </si>
  <si>
    <t>Pooja</t>
  </si>
  <si>
    <t>CUST178</t>
  </si>
  <si>
    <t>ORD1007</t>
  </si>
  <si>
    <t>30-05-2025</t>
  </si>
  <si>
    <t>Sneha</t>
  </si>
  <si>
    <t>CUST115</t>
  </si>
  <si>
    <t>Men</t>
  </si>
  <si>
    <t>Shirts</t>
  </si>
  <si>
    <t>Nike</t>
  </si>
  <si>
    <t>ORD1008</t>
  </si>
  <si>
    <t>29-05-2025</t>
  </si>
  <si>
    <t>Priya</t>
  </si>
  <si>
    <t>Levis</t>
  </si>
  <si>
    <t>ORD1009</t>
  </si>
  <si>
    <t>02-12-2025</t>
  </si>
  <si>
    <t>Rohit</t>
  </si>
  <si>
    <t>CUST134</t>
  </si>
  <si>
    <t>Uttar Pradesh</t>
  </si>
  <si>
    <t>Lucknow</t>
  </si>
  <si>
    <t>ORD1010</t>
  </si>
  <si>
    <t>05-03-2025</t>
  </si>
  <si>
    <t>CUST188</t>
  </si>
  <si>
    <t>ORD1011</t>
  </si>
  <si>
    <t>28-11-2025</t>
  </si>
  <si>
    <t>Anjali</t>
  </si>
  <si>
    <t>CUST157</t>
  </si>
  <si>
    <t>Shorts</t>
  </si>
  <si>
    <t>ORD1012</t>
  </si>
  <si>
    <t>31-10-2025</t>
  </si>
  <si>
    <t>CUST173</t>
  </si>
  <si>
    <t>ORD1013</t>
  </si>
  <si>
    <t>26-01-2025</t>
  </si>
  <si>
    <t>CUST114</t>
  </si>
  <si>
    <t>ORD1014</t>
  </si>
  <si>
    <t>15-10-2025</t>
  </si>
  <si>
    <t>CUST144</t>
  </si>
  <si>
    <t>ORD1015</t>
  </si>
  <si>
    <t>06-01-2025</t>
  </si>
  <si>
    <t>CUST187</t>
  </si>
  <si>
    <t>Red</t>
  </si>
  <si>
    <t>ORD1016</t>
  </si>
  <si>
    <t>30-07-2025</t>
  </si>
  <si>
    <t>CUST190</t>
  </si>
  <si>
    <t>Jeans</t>
  </si>
  <si>
    <t>ORD1017</t>
  </si>
  <si>
    <t>20-07-2025</t>
  </si>
  <si>
    <t>CUST138</t>
  </si>
  <si>
    <t>ORD1018</t>
  </si>
  <si>
    <t>02-01-2025</t>
  </si>
  <si>
    <t>CUST172</t>
  </si>
  <si>
    <t>Cancelled</t>
  </si>
  <si>
    <t>ORD1019</t>
  </si>
  <si>
    <t>31-03-2025</t>
  </si>
  <si>
    <t>Rahul</t>
  </si>
  <si>
    <t>CUST109</t>
  </si>
  <si>
    <t>ORD1020</t>
  </si>
  <si>
    <t>26-02-2025</t>
  </si>
  <si>
    <t>CUST110</t>
  </si>
  <si>
    <t>ORD1021</t>
  </si>
  <si>
    <t>15-06-2025</t>
  </si>
  <si>
    <t>CUST113</t>
  </si>
  <si>
    <t>ORD1022</t>
  </si>
  <si>
    <t>08-08-2025</t>
  </si>
  <si>
    <t>CUST104</t>
  </si>
  <si>
    <t>ORD1023</t>
  </si>
  <si>
    <t>30-01-2025</t>
  </si>
  <si>
    <t>CUST155</t>
  </si>
  <si>
    <t>ORD1024</t>
  </si>
  <si>
    <t>01-08-2025</t>
  </si>
  <si>
    <t>CUST164</t>
  </si>
  <si>
    <t>ORD1025</t>
  </si>
  <si>
    <t>07-03-2025</t>
  </si>
  <si>
    <t>CUST127</t>
  </si>
  <si>
    <t>ORD1026</t>
  </si>
  <si>
    <t>CUST194</t>
  </si>
  <si>
    <t>ORD1027</t>
  </si>
  <si>
    <t>13-03-2025</t>
  </si>
  <si>
    <t>CUST136</t>
  </si>
  <si>
    <t>ORD1028</t>
  </si>
  <si>
    <t>16-03-2025</t>
  </si>
  <si>
    <t>CUST159</t>
  </si>
  <si>
    <t>ORD1029</t>
  </si>
  <si>
    <t>08-01-2025</t>
  </si>
  <si>
    <t>CUST118</t>
  </si>
  <si>
    <t>ORD1030</t>
  </si>
  <si>
    <t>18-09-2025</t>
  </si>
  <si>
    <t>ORD1031</t>
  </si>
  <si>
    <t>13-02-2025</t>
  </si>
  <si>
    <t>CUST162</t>
  </si>
  <si>
    <t>ORD1032</t>
  </si>
  <si>
    <t>07-07-2025</t>
  </si>
  <si>
    <t>CUST137</t>
  </si>
  <si>
    <t>ORD1033</t>
  </si>
  <si>
    <t>27-12-2025</t>
  </si>
  <si>
    <t>ORD1034</t>
  </si>
  <si>
    <t>04-07-2025</t>
  </si>
  <si>
    <t>ORD1035</t>
  </si>
  <si>
    <t>03-03-2025</t>
  </si>
  <si>
    <t>CUST117</t>
  </si>
  <si>
    <t>ORD1036</t>
  </si>
  <si>
    <t>12-08-2025</t>
  </si>
  <si>
    <t>CUST103</t>
  </si>
  <si>
    <t>ORD1037</t>
  </si>
  <si>
    <t>25-03-2025</t>
  </si>
  <si>
    <t>ORD1038</t>
  </si>
  <si>
    <t>14-02-2025</t>
  </si>
  <si>
    <t xml:space="preserve">Rohit  </t>
  </si>
  <si>
    <t>ORD1039</t>
  </si>
  <si>
    <t>05-05-2025</t>
  </si>
  <si>
    <t>CUST167</t>
  </si>
  <si>
    <t>ORD1040</t>
  </si>
  <si>
    <t>14-09-2025</t>
  </si>
  <si>
    <t>CUST140</t>
  </si>
  <si>
    <t>ORD1041</t>
  </si>
  <si>
    <t>26-05-2025</t>
  </si>
  <si>
    <t>CUST154</t>
  </si>
  <si>
    <t>ORD1042</t>
  </si>
  <si>
    <t>19-12-2025</t>
  </si>
  <si>
    <t>CUST195</t>
  </si>
  <si>
    <t>ORD1043</t>
  </si>
  <si>
    <t>09-10-2025</t>
  </si>
  <si>
    <t>CUST150</t>
  </si>
  <si>
    <t>ORD1044</t>
  </si>
  <si>
    <t>03-08-2025</t>
  </si>
  <si>
    <t>CUST177</t>
  </si>
  <si>
    <t>ORD1045</t>
  </si>
  <si>
    <t>CUST170</t>
  </si>
  <si>
    <t>ORD1046</t>
  </si>
  <si>
    <t>08-03-2025</t>
  </si>
  <si>
    <t>ORD1047</t>
  </si>
  <si>
    <t>CUST124</t>
  </si>
  <si>
    <t>ORD1048</t>
  </si>
  <si>
    <t>11-07-2025</t>
  </si>
  <si>
    <t>ORD1049</t>
  </si>
  <si>
    <t>10-03-2025</t>
  </si>
  <si>
    <t>CUST153</t>
  </si>
  <si>
    <t>ORD1050</t>
  </si>
  <si>
    <t>02-03-2025</t>
  </si>
  <si>
    <t>ORD1051</t>
  </si>
  <si>
    <t>29-12-2025</t>
  </si>
  <si>
    <t>ORD1052</t>
  </si>
  <si>
    <t>30-08-2025</t>
  </si>
  <si>
    <t>CUST152</t>
  </si>
  <si>
    <t>ORD1053</t>
  </si>
  <si>
    <t>24-08-2025</t>
  </si>
  <si>
    <t>CUST125</t>
  </si>
  <si>
    <t>ORD1054</t>
  </si>
  <si>
    <t>16-04-2025</t>
  </si>
  <si>
    <t>CUST161</t>
  </si>
  <si>
    <t>ORD1055</t>
  </si>
  <si>
    <t>07-05-2025</t>
  </si>
  <si>
    <t>ORD1056</t>
  </si>
  <si>
    <t>22-06-2025</t>
  </si>
  <si>
    <t>CUST145</t>
  </si>
  <si>
    <t>ORD1057</t>
  </si>
  <si>
    <t>02-11-2025</t>
  </si>
  <si>
    <t>ORD1058</t>
  </si>
  <si>
    <t>31-12-2025</t>
  </si>
  <si>
    <t>CUST163</t>
  </si>
  <si>
    <t>ORD1059</t>
  </si>
  <si>
    <t>30-11-2025</t>
  </si>
  <si>
    <t>ORD1060</t>
  </si>
  <si>
    <t>05-08-2025</t>
  </si>
  <si>
    <t>ORD1061</t>
  </si>
  <si>
    <t>18-12-2025</t>
  </si>
  <si>
    <t>CUST184</t>
  </si>
  <si>
    <t>ORD1062</t>
  </si>
  <si>
    <t>CUST143</t>
  </si>
  <si>
    <t>ORD1063</t>
  </si>
  <si>
    <t>14-07-2025</t>
  </si>
  <si>
    <t>CUST135</t>
  </si>
  <si>
    <t>ORD1064</t>
  </si>
  <si>
    <t>27-09-2025</t>
  </si>
  <si>
    <t>CUST139</t>
  </si>
  <si>
    <t>ORD1065</t>
  </si>
  <si>
    <t>20-10-2025</t>
  </si>
  <si>
    <t>CUST182</t>
  </si>
  <si>
    <t>ORD1066</t>
  </si>
  <si>
    <t>14-01-2025</t>
  </si>
  <si>
    <t>ORD1067</t>
  </si>
  <si>
    <t>19-10-2025</t>
  </si>
  <si>
    <t>ORD1068</t>
  </si>
  <si>
    <t>16-07-2025</t>
  </si>
  <si>
    <t>ORD1069</t>
  </si>
  <si>
    <t>09-11-2025</t>
  </si>
  <si>
    <t>ORD1070</t>
  </si>
  <si>
    <t>17-04-2025</t>
  </si>
  <si>
    <t>ORD1071</t>
  </si>
  <si>
    <t>16-05-2025</t>
  </si>
  <si>
    <t>CUST158</t>
  </si>
  <si>
    <t>ORD1072</t>
  </si>
  <si>
    <t>13-04-2025</t>
  </si>
  <si>
    <t>CUST171</t>
  </si>
  <si>
    <t>ORD1073</t>
  </si>
  <si>
    <t>10-08-2025</t>
  </si>
  <si>
    <t>CUST120</t>
  </si>
  <si>
    <t>ORD1074</t>
  </si>
  <si>
    <t>10-10-2025</t>
  </si>
  <si>
    <t>CUST128</t>
  </si>
  <si>
    <t>ORD1075</t>
  </si>
  <si>
    <t>11-10-2025</t>
  </si>
  <si>
    <t xml:space="preserve">Rahul  </t>
  </si>
  <si>
    <t>CUST129</t>
  </si>
  <si>
    <t>ORD1076</t>
  </si>
  <si>
    <t>05-02-2025</t>
  </si>
  <si>
    <t>CUST196</t>
  </si>
  <si>
    <t>ORD1077</t>
  </si>
  <si>
    <t>05-01-2025</t>
  </si>
  <si>
    <t>ORD1078</t>
  </si>
  <si>
    <t>25-08-2025</t>
  </si>
  <si>
    <t>CUST122</t>
  </si>
  <si>
    <t>ORD1079</t>
  </si>
  <si>
    <t>25-10-2025</t>
  </si>
  <si>
    <t>CUST180</t>
  </si>
  <si>
    <t>ORD1080</t>
  </si>
  <si>
    <t>ORD1081</t>
  </si>
  <si>
    <t>07-06-2025</t>
  </si>
  <si>
    <t>ORD1082</t>
  </si>
  <si>
    <t>13-06-2025</t>
  </si>
  <si>
    <t>ORD1083</t>
  </si>
  <si>
    <t>ORD1084</t>
  </si>
  <si>
    <t>CUST183</t>
  </si>
  <si>
    <t>ORD1085</t>
  </si>
  <si>
    <t>CUST130</t>
  </si>
  <si>
    <t>ORD1086</t>
  </si>
  <si>
    <t>25-07-2025</t>
  </si>
  <si>
    <t>CUST197</t>
  </si>
  <si>
    <t>ORD1087</t>
  </si>
  <si>
    <t>04-09-2025</t>
  </si>
  <si>
    <t>ORD1088</t>
  </si>
  <si>
    <t>19-03-2025</t>
  </si>
  <si>
    <t>ORD1089</t>
  </si>
  <si>
    <t>24-11-2025</t>
  </si>
  <si>
    <t>CUST116</t>
  </si>
  <si>
    <t>ORD1090</t>
  </si>
  <si>
    <t>05-09-2025</t>
  </si>
  <si>
    <t>ORD1091</t>
  </si>
  <si>
    <t>28-07-2025</t>
  </si>
  <si>
    <t>ORD1092</t>
  </si>
  <si>
    <t>ORD1093</t>
  </si>
  <si>
    <t>25-12-2025</t>
  </si>
  <si>
    <t>CUST141</t>
  </si>
  <si>
    <t>ORD1094</t>
  </si>
  <si>
    <t>22-12-2025</t>
  </si>
  <si>
    <t>ORD1095</t>
  </si>
  <si>
    <t>ORD1096</t>
  </si>
  <si>
    <t>20-12-2025</t>
  </si>
  <si>
    <t>ORD1097</t>
  </si>
  <si>
    <t>ORD1098</t>
  </si>
  <si>
    <t>06-04-2025</t>
  </si>
  <si>
    <t>ORD1099</t>
  </si>
  <si>
    <t>ORD1100</t>
  </si>
  <si>
    <t>07-08-2025</t>
  </si>
  <si>
    <t>ORD1101</t>
  </si>
  <si>
    <t>08-04-2025</t>
  </si>
  <si>
    <t>ORD1102</t>
  </si>
  <si>
    <t>22-07-2025</t>
  </si>
  <si>
    <t>ORD1103</t>
  </si>
  <si>
    <t>11-04-2025</t>
  </si>
  <si>
    <t>ORD1104</t>
  </si>
  <si>
    <t>03-06-2025</t>
  </si>
  <si>
    <t>ORD1105</t>
  </si>
  <si>
    <t>08-07-2025</t>
  </si>
  <si>
    <t>CUST100</t>
  </si>
  <si>
    <t>ORD1106</t>
  </si>
  <si>
    <t>25-01-2025</t>
  </si>
  <si>
    <t>ORD1107</t>
  </si>
  <si>
    <t>CUST181</t>
  </si>
  <si>
    <t>ORD1108</t>
  </si>
  <si>
    <t>ORD1109</t>
  </si>
  <si>
    <t>ORD1110</t>
  </si>
  <si>
    <t>ORD1111</t>
  </si>
  <si>
    <t>12-02-2025</t>
  </si>
  <si>
    <t>CUST126</t>
  </si>
  <si>
    <t>ORD1112</t>
  </si>
  <si>
    <t xml:space="preserve">Anjali  </t>
  </si>
  <si>
    <t>CUST185</t>
  </si>
  <si>
    <t>ORD1113</t>
  </si>
  <si>
    <t>27-10-2025</t>
  </si>
  <si>
    <t>ORD1114</t>
  </si>
  <si>
    <t>27-08-2025</t>
  </si>
  <si>
    <t>ORD1115</t>
  </si>
  <si>
    <t>09-02-2025</t>
  </si>
  <si>
    <t>ORD1116</t>
  </si>
  <si>
    <t>15-07-2025</t>
  </si>
  <si>
    <t>ORD1117</t>
  </si>
  <si>
    <t>19-02-2025</t>
  </si>
  <si>
    <t>ORD1118</t>
  </si>
  <si>
    <t>ORD1119</t>
  </si>
  <si>
    <t>10-02-2025</t>
  </si>
  <si>
    <t>ORD1120</t>
  </si>
  <si>
    <t>24-05-2025</t>
  </si>
  <si>
    <t>ORD1121</t>
  </si>
  <si>
    <t>04-10-2025</t>
  </si>
  <si>
    <t>ORD1122</t>
  </si>
  <si>
    <t>CUST142</t>
  </si>
  <si>
    <t>ORD1123</t>
  </si>
  <si>
    <t>29-08-2025</t>
  </si>
  <si>
    <t>CUST191</t>
  </si>
  <si>
    <t>ORD1124</t>
  </si>
  <si>
    <t>14-08-2025</t>
  </si>
  <si>
    <t>CUST121</t>
  </si>
  <si>
    <t>ORD1125</t>
  </si>
  <si>
    <t>01-02-2025</t>
  </si>
  <si>
    <t>ORD1126</t>
  </si>
  <si>
    <t>25-06-2025</t>
  </si>
  <si>
    <t>ORD1127</t>
  </si>
  <si>
    <t>30-03-2025</t>
  </si>
  <si>
    <t>ORD1128</t>
  </si>
  <si>
    <t>06-09-2025</t>
  </si>
  <si>
    <t>ORD1129</t>
  </si>
  <si>
    <t>04-06-2025</t>
  </si>
  <si>
    <t>ORD1130</t>
  </si>
  <si>
    <t>ORD1131</t>
  </si>
  <si>
    <t>ORD1132</t>
  </si>
  <si>
    <t>14-05-2025</t>
  </si>
  <si>
    <t>ORD1133</t>
  </si>
  <si>
    <t>ORD1134</t>
  </si>
  <si>
    <t>14-12-2025</t>
  </si>
  <si>
    <t>ORD1135</t>
  </si>
  <si>
    <t>10-06-2025</t>
  </si>
  <si>
    <t>ORD1136</t>
  </si>
  <si>
    <t>ORD1137</t>
  </si>
  <si>
    <t>10-11-2025</t>
  </si>
  <si>
    <t>CUST119</t>
  </si>
  <si>
    <t>ORD1138</t>
  </si>
  <si>
    <t>11-06-2025</t>
  </si>
  <si>
    <t>ORD1139</t>
  </si>
  <si>
    <t>ORD1140</t>
  </si>
  <si>
    <t>CUST149</t>
  </si>
  <si>
    <t>ORD1141</t>
  </si>
  <si>
    <t>16-08-2025</t>
  </si>
  <si>
    <t>ORD1142</t>
  </si>
  <si>
    <t>02-02-2025</t>
  </si>
  <si>
    <t>ORD1143</t>
  </si>
  <si>
    <t>08-11-2025</t>
  </si>
  <si>
    <t>ORD1144</t>
  </si>
  <si>
    <t>ORD1145</t>
  </si>
  <si>
    <t>ORD1146</t>
  </si>
  <si>
    <t>04-03-2025</t>
  </si>
  <si>
    <t>ORD1147</t>
  </si>
  <si>
    <t>16-11-2025</t>
  </si>
  <si>
    <t>CUST123</t>
  </si>
  <si>
    <t>ORD1148</t>
  </si>
  <si>
    <t>05-11-2025</t>
  </si>
  <si>
    <t>CUST151</t>
  </si>
  <si>
    <t>ORD1149</t>
  </si>
  <si>
    <t>09-03-2025</t>
  </si>
  <si>
    <t>ORD1150</t>
  </si>
  <si>
    <t>28-05-2025</t>
  </si>
  <si>
    <t>CUST186</t>
  </si>
  <si>
    <t>ORD1151</t>
  </si>
  <si>
    <t>17-07-2025</t>
  </si>
  <si>
    <t>ORD1152</t>
  </si>
  <si>
    <t>21-05-2025</t>
  </si>
  <si>
    <t>ORD1153</t>
  </si>
  <si>
    <t>28-04-2025</t>
  </si>
  <si>
    <t>ORD1154</t>
  </si>
  <si>
    <t>30-10-2025</t>
  </si>
  <si>
    <t>ORD1155</t>
  </si>
  <si>
    <t>CUST102</t>
  </si>
  <si>
    <t>ORD1156</t>
  </si>
  <si>
    <t>ORD1157</t>
  </si>
  <si>
    <t>ORD1158</t>
  </si>
  <si>
    <t>ORD1159</t>
  </si>
  <si>
    <t>07-01-2025</t>
  </si>
  <si>
    <t>ORD1160</t>
  </si>
  <si>
    <t>23-07-2025</t>
  </si>
  <si>
    <t>CUST101</t>
  </si>
  <si>
    <t>ORD1161</t>
  </si>
  <si>
    <t>ORD1162</t>
  </si>
  <si>
    <t>ORD1163</t>
  </si>
  <si>
    <t>18-01-2025</t>
  </si>
  <si>
    <t>ORD1164</t>
  </si>
  <si>
    <t>ORD1165</t>
  </si>
  <si>
    <t>23-08-2025</t>
  </si>
  <si>
    <t>ORD1166</t>
  </si>
  <si>
    <t>24-01-2025</t>
  </si>
  <si>
    <t>ORD1167</t>
  </si>
  <si>
    <t>21-02-2025</t>
  </si>
  <si>
    <t>ORD1168</t>
  </si>
  <si>
    <t>05-10-2025</t>
  </si>
  <si>
    <t>ORD1169</t>
  </si>
  <si>
    <t>19-04-2025</t>
  </si>
  <si>
    <t>ORD1170</t>
  </si>
  <si>
    <t>ORD1171</t>
  </si>
  <si>
    <t>ORD1172</t>
  </si>
  <si>
    <t>13-01-2025</t>
  </si>
  <si>
    <t>ORD1173</t>
  </si>
  <si>
    <t>22-08-2025</t>
  </si>
  <si>
    <t>ORD1174</t>
  </si>
  <si>
    <t>07-10-2025</t>
  </si>
  <si>
    <t>ORD1175</t>
  </si>
  <si>
    <t>12-01-2025</t>
  </si>
  <si>
    <t>ORD1176</t>
  </si>
  <si>
    <t>24-02-2025</t>
  </si>
  <si>
    <t>ORD1177</t>
  </si>
  <si>
    <t>15-02-2025</t>
  </si>
  <si>
    <t>ORD1178</t>
  </si>
  <si>
    <t>18-03-2025</t>
  </si>
  <si>
    <t>ORD1179</t>
  </si>
  <si>
    <t>ORD1180</t>
  </si>
  <si>
    <t>ORD1181</t>
  </si>
  <si>
    <t>18-06-2025</t>
  </si>
  <si>
    <t>CUST156</t>
  </si>
  <si>
    <t>ORD1182</t>
  </si>
  <si>
    <t>ORD1183</t>
  </si>
  <si>
    <t>CUST106</t>
  </si>
  <si>
    <t>ORD1184</t>
  </si>
  <si>
    <t>28-12-2025</t>
  </si>
  <si>
    <t>ORD1185</t>
  </si>
  <si>
    <t>02-05-2025</t>
  </si>
  <si>
    <t>ORD1186</t>
  </si>
  <si>
    <t xml:space="preserve">Sumit  </t>
  </si>
  <si>
    <t>ORD1187</t>
  </si>
  <si>
    <t>ORD1188</t>
  </si>
  <si>
    <t>03-10-2025</t>
  </si>
  <si>
    <t>ORD1189</t>
  </si>
  <si>
    <t>ORD1190</t>
  </si>
  <si>
    <t>21-11-2025</t>
  </si>
  <si>
    <t>ORD1191</t>
  </si>
  <si>
    <t>01-12-2025</t>
  </si>
  <si>
    <t>ORD1192</t>
  </si>
  <si>
    <t>12-07-2025</t>
  </si>
  <si>
    <t>ORD1193</t>
  </si>
  <si>
    <t>25-05-2025</t>
  </si>
  <si>
    <t>CUST160</t>
  </si>
  <si>
    <t>ORD1194</t>
  </si>
  <si>
    <t>ORD1195</t>
  </si>
  <si>
    <t>31-01-2025</t>
  </si>
  <si>
    <t>ORD1196</t>
  </si>
  <si>
    <t>CUST112</t>
  </si>
  <si>
    <t>ORD1197</t>
  </si>
  <si>
    <t>ORD1198</t>
  </si>
  <si>
    <t>04-05-2025</t>
  </si>
  <si>
    <t>ORD1199</t>
  </si>
  <si>
    <t>17-06-2025</t>
  </si>
  <si>
    <t>ORD1200</t>
  </si>
  <si>
    <t>22-05-2025</t>
  </si>
  <si>
    <t>Sales</t>
  </si>
  <si>
    <t>Cost</t>
  </si>
  <si>
    <t>Profit</t>
  </si>
  <si>
    <t>A</t>
  </si>
  <si>
    <t>B</t>
  </si>
  <si>
    <t>Total Sales</t>
  </si>
  <si>
    <t>Total Cost</t>
  </si>
  <si>
    <t>Total Profit</t>
  </si>
  <si>
    <t>Total Orders</t>
  </si>
  <si>
    <t>Row Labels</t>
  </si>
  <si>
    <t>Sum of Sales</t>
  </si>
  <si>
    <t>Month</t>
  </si>
  <si>
    <t>January</t>
  </si>
  <si>
    <t>February</t>
  </si>
  <si>
    <t>March</t>
  </si>
  <si>
    <t>April</t>
  </si>
  <si>
    <t>May</t>
  </si>
  <si>
    <t>June</t>
  </si>
  <si>
    <t>July</t>
  </si>
  <si>
    <t>August</t>
  </si>
  <si>
    <t>September</t>
  </si>
  <si>
    <t>October</t>
  </si>
  <si>
    <t>November</t>
  </si>
  <si>
    <t>December</t>
  </si>
  <si>
    <t>Average Sales</t>
  </si>
  <si>
    <t>Profit Margin %</t>
  </si>
  <si>
    <t>Average Discount %</t>
  </si>
  <si>
    <t>Average Discount%</t>
  </si>
  <si>
    <t xml:space="preserve">Clothing Sales Dashboard </t>
  </si>
  <si>
    <t>Sum of Cost</t>
  </si>
  <si>
    <t>Sum of Profit</t>
  </si>
  <si>
    <t>Count of Order ID</t>
  </si>
  <si>
    <t>Average of Sales2</t>
  </si>
  <si>
    <t>Average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</si>
</sst>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4009]\ * #,##0.00_ ;_ [$₹-4009]\ * \-#,##0.00_ ;_ [$₹-4009]\ * &quot;-&quot;??_ ;_ @_ "/>
    <numFmt numFmtId="165" formatCode="_ [$₹-4009]\ * #,##0_ ;_ [$₹-4009]\ * \-#,##0_ ;_ [$₹-4009]\ * &quot;-&quot;??_ ;_ @_ "/>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4"/>
      <color theme="1"/>
      <name val="Calibri"/>
      <family val="2"/>
      <scheme val="minor"/>
    </font>
    <font>
      <b/>
      <sz val="48"/>
      <color theme="1"/>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0" fillId="0" borderId="0" xfId="0" applyAlignment="1">
      <alignment horizontal="center"/>
    </xf>
    <xf numFmtId="0" fontId="2" fillId="0" borderId="0" xfId="0" applyFont="1" applyAlignment="1">
      <alignment horizontal="center"/>
    </xf>
    <xf numFmtId="165" fontId="0" fillId="0" borderId="0" xfId="0" applyNumberFormat="1"/>
    <xf numFmtId="164" fontId="0" fillId="2" borderId="0" xfId="0" applyNumberFormat="1" applyFill="1"/>
    <xf numFmtId="0" fontId="0" fillId="0" borderId="0" xfId="0" pivotButton="1"/>
    <xf numFmtId="0" fontId="0" fillId="0" borderId="0" xfId="0" applyAlignment="1">
      <alignment horizontal="left"/>
    </xf>
    <xf numFmtId="43" fontId="0" fillId="0" borderId="0" xfId="1" applyFont="1"/>
    <xf numFmtId="164" fontId="0" fillId="3" borderId="0" xfId="0" applyNumberFormat="1" applyFill="1"/>
    <xf numFmtId="0" fontId="5" fillId="8" borderId="0" xfId="0" applyFont="1" applyFill="1" applyAlignment="1">
      <alignment horizontal="center" vertical="center"/>
    </xf>
    <xf numFmtId="0" fontId="3" fillId="5" borderId="0" xfId="0" applyFont="1" applyFill="1" applyAlignment="1">
      <alignment horizontal="center" vertical="center"/>
    </xf>
    <xf numFmtId="164" fontId="4" fillId="4" borderId="0" xfId="0" applyNumberFormat="1" applyFont="1" applyFill="1" applyAlignment="1">
      <alignment horizontal="center" vertical="center"/>
    </xf>
    <xf numFmtId="0" fontId="4" fillId="4" borderId="0" xfId="0" applyFont="1" applyFill="1" applyAlignment="1">
      <alignment horizontal="center" vertical="center"/>
    </xf>
    <xf numFmtId="165" fontId="4" fillId="4" borderId="0" xfId="0" applyNumberFormat="1" applyFont="1" applyFill="1" applyAlignment="1">
      <alignment horizontal="center" vertical="center"/>
    </xf>
    <xf numFmtId="0" fontId="3" fillId="6" borderId="0" xfId="0" applyFont="1" applyFill="1" applyAlignment="1">
      <alignment horizontal="center" vertical="center"/>
    </xf>
    <xf numFmtId="164" fontId="4" fillId="7" borderId="0" xfId="0" applyNumberFormat="1" applyFont="1" applyFill="1" applyAlignment="1">
      <alignment horizontal="center" vertical="center"/>
    </xf>
    <xf numFmtId="0" fontId="4" fillId="7"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9">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4" formatCode="_ [$₹-4009]\ * #,##0.00_ ;_ [$₹-4009]\ * \-#,##0.00_ ;_ [$₹-4009]\ * &quot;-&quot;??_ ;_ @_ "/>
    </dxf>
    <dxf>
      <numFmt numFmtId="165" formatCode="_ [$₹-4009]\ * #,##0_ ;_ [$₹-4009]\ * \-#,##0_ ;_ [$₹-4009]\ * &quot;-&quot;??_ ;_ @_ "/>
    </dxf>
    <dxf>
      <numFmt numFmtId="165" formatCode="_ [$₹-4009]\ * #,##0_ ;_ [$₹-4009]\ * \-#,##0_ ;_ [$₹-4009]\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(1).xlsx]PT_Brand!PivotTable1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Brand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PT_Brand!$B$3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PT_Brand!$A$4:$A$8</c:f>
              <c:strCache>
                <c:ptCount val="5"/>
                <c:pt idx="0">
                  <c:v>Biba</c:v>
                </c:pt>
                <c:pt idx="1">
                  <c:v>Levis</c:v>
                </c:pt>
                <c:pt idx="2">
                  <c:v>Nike</c:v>
                </c:pt>
                <c:pt idx="3">
                  <c:v>Puma</c:v>
                </c:pt>
                <c:pt idx="4">
                  <c:v>Roadster</c:v>
                </c:pt>
              </c:strCache>
            </c:strRef>
          </c:cat>
          <c:val>
            <c:numRef>
              <c:f>PT_Brand!$B$4:$B$8</c:f>
              <c:numCache>
                <c:formatCode>_ [$₹-4009]\ * #,##0_ ;_ [$₹-4009]\ * \-#,##0_ ;_ [$₹-4009]\ * "-"??_ ;_ @_ </c:formatCode>
                <c:ptCount val="5"/>
                <c:pt idx="0">
                  <c:v>164298.50000000003</c:v>
                </c:pt>
                <c:pt idx="1">
                  <c:v>126774</c:v>
                </c:pt>
                <c:pt idx="2">
                  <c:v>145086.84999999998</c:v>
                </c:pt>
                <c:pt idx="3">
                  <c:v>160168.70000000001</c:v>
                </c:pt>
                <c:pt idx="4">
                  <c:v>111277.84999999998</c:v>
                </c:pt>
              </c:numCache>
            </c:numRef>
          </c:val>
          <c:extLst>
            <c:ext xmlns:c16="http://schemas.microsoft.com/office/drawing/2014/chart" uri="{C3380CC4-5D6E-409C-BE32-E72D297353CC}">
              <c16:uniqueId val="{00000009-8D77-447F-A8C9-4AD42B8D6AC6}"/>
            </c:ext>
          </c:extLst>
        </c:ser>
        <c:dLbls>
          <c:dLblPos val="outEnd"/>
          <c:showLegendKey val="0"/>
          <c:showVal val="1"/>
          <c:showCatName val="0"/>
          <c:showSerName val="0"/>
          <c:showPercent val="0"/>
          <c:showBubbleSize val="0"/>
        </c:dLbls>
        <c:gapWidth val="100"/>
        <c:overlap val="-24"/>
        <c:axId val="525995184"/>
        <c:axId val="526005744"/>
      </c:barChart>
      <c:catAx>
        <c:axId val="525995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6005744"/>
        <c:crosses val="autoZero"/>
        <c:auto val="1"/>
        <c:lblAlgn val="ctr"/>
        <c:lblOffset val="100"/>
        <c:noMultiLvlLbl val="0"/>
      </c:catAx>
      <c:valAx>
        <c:axId val="526005744"/>
        <c:scaling>
          <c:orientation val="minMax"/>
        </c:scaling>
        <c:delete val="0"/>
        <c:axPos val="l"/>
        <c:majorGridlines>
          <c:spPr>
            <a:ln w="9525" cap="flat" cmpd="sng" algn="ctr">
              <a:solidFill>
                <a:schemeClr val="tx2">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59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(1).xlsx]PT_Category!PivotTable3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layout>
        <c:manualLayout>
          <c:xMode val="edge"/>
          <c:yMode val="edge"/>
          <c:x val="0.38579293262425968"/>
          <c:y val="9.17760279965004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PT_Category!$A$4:$A$6</c:f>
              <c:strCache>
                <c:ptCount val="3"/>
                <c:pt idx="0">
                  <c:v>Kids</c:v>
                </c:pt>
                <c:pt idx="1">
                  <c:v>Men</c:v>
                </c:pt>
                <c:pt idx="2">
                  <c:v>Women</c:v>
                </c:pt>
              </c:strCache>
            </c:strRef>
          </c:cat>
          <c:val>
            <c:numRef>
              <c:f>PT_Category!$B$4:$B$6</c:f>
              <c:numCache>
                <c:formatCode>_ [$₹-4009]\ * #,##0_ ;_ [$₹-4009]\ * \-#,##0_ ;_ [$₹-4009]\ * "-"??_ ;_ @_ </c:formatCode>
                <c:ptCount val="3"/>
                <c:pt idx="0">
                  <c:v>296225.54999999993</c:v>
                </c:pt>
                <c:pt idx="1">
                  <c:v>195510.60000000003</c:v>
                </c:pt>
                <c:pt idx="2">
                  <c:v>215869.74999999997</c:v>
                </c:pt>
              </c:numCache>
            </c:numRef>
          </c:val>
          <c:extLst>
            <c:ext xmlns:c16="http://schemas.microsoft.com/office/drawing/2014/chart" uri="{C3380CC4-5D6E-409C-BE32-E72D297353CC}">
              <c16:uniqueId val="{00000000-52D6-4A3D-BB03-F0BF02C2ED95}"/>
            </c:ext>
          </c:extLst>
        </c:ser>
        <c:dLbls>
          <c:dLblPos val="outEnd"/>
          <c:showLegendKey val="0"/>
          <c:showVal val="1"/>
          <c:showCatName val="0"/>
          <c:showSerName val="0"/>
          <c:showPercent val="0"/>
          <c:showBubbleSize val="0"/>
        </c:dLbls>
        <c:gapWidth val="100"/>
        <c:axId val="40920304"/>
        <c:axId val="40933264"/>
      </c:barChart>
      <c:catAx>
        <c:axId val="409203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33264"/>
        <c:crosses val="autoZero"/>
        <c:auto val="1"/>
        <c:lblAlgn val="ctr"/>
        <c:lblOffset val="100"/>
        <c:noMultiLvlLbl val="0"/>
      </c:catAx>
      <c:valAx>
        <c:axId val="40933264"/>
        <c:scaling>
          <c:orientation val="minMax"/>
        </c:scaling>
        <c:delete val="0"/>
        <c:axPos val="b"/>
        <c:majorGridlines>
          <c:spPr>
            <a:ln w="9525" cap="flat" cmpd="sng" algn="ctr">
              <a:solidFill>
                <a:schemeClr val="tx2">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2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(1).xlsx]PT_Brand!PivotTable1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Brand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PT_Brand!$B$3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PT_Brand!$A$4:$A$8</c:f>
              <c:strCache>
                <c:ptCount val="5"/>
                <c:pt idx="0">
                  <c:v>Biba</c:v>
                </c:pt>
                <c:pt idx="1">
                  <c:v>Levis</c:v>
                </c:pt>
                <c:pt idx="2">
                  <c:v>Nike</c:v>
                </c:pt>
                <c:pt idx="3">
                  <c:v>Puma</c:v>
                </c:pt>
                <c:pt idx="4">
                  <c:v>Roadster</c:v>
                </c:pt>
              </c:strCache>
            </c:strRef>
          </c:cat>
          <c:val>
            <c:numRef>
              <c:f>PT_Brand!$B$4:$B$8</c:f>
              <c:numCache>
                <c:formatCode>_ [$₹-4009]\ * #,##0_ ;_ [$₹-4009]\ * \-#,##0_ ;_ [$₹-4009]\ * "-"??_ ;_ @_ </c:formatCode>
                <c:ptCount val="5"/>
                <c:pt idx="0">
                  <c:v>164298.50000000003</c:v>
                </c:pt>
                <c:pt idx="1">
                  <c:v>126774</c:v>
                </c:pt>
                <c:pt idx="2">
                  <c:v>145086.84999999998</c:v>
                </c:pt>
                <c:pt idx="3">
                  <c:v>160168.70000000001</c:v>
                </c:pt>
                <c:pt idx="4">
                  <c:v>111277.84999999998</c:v>
                </c:pt>
              </c:numCache>
            </c:numRef>
          </c:val>
          <c:extLst>
            <c:ext xmlns:c16="http://schemas.microsoft.com/office/drawing/2014/chart" uri="{C3380CC4-5D6E-409C-BE32-E72D297353CC}">
              <c16:uniqueId val="{00000009-6C3D-4579-84A1-C17B057E61B8}"/>
            </c:ext>
          </c:extLst>
        </c:ser>
        <c:dLbls>
          <c:dLblPos val="outEnd"/>
          <c:showLegendKey val="0"/>
          <c:showVal val="1"/>
          <c:showCatName val="0"/>
          <c:showSerName val="0"/>
          <c:showPercent val="0"/>
          <c:showBubbleSize val="0"/>
        </c:dLbls>
        <c:gapWidth val="100"/>
        <c:overlap val="-24"/>
        <c:axId val="525995184"/>
        <c:axId val="526005744"/>
      </c:barChart>
      <c:catAx>
        <c:axId val="525995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6005744"/>
        <c:crosses val="autoZero"/>
        <c:auto val="1"/>
        <c:lblAlgn val="ctr"/>
        <c:lblOffset val="100"/>
        <c:noMultiLvlLbl val="0"/>
      </c:catAx>
      <c:valAx>
        <c:axId val="526005744"/>
        <c:scaling>
          <c:orientation val="minMax"/>
        </c:scaling>
        <c:delete val="0"/>
        <c:axPos val="l"/>
        <c:majorGridlines>
          <c:spPr>
            <a:ln w="9525" cap="flat" cmpd="sng" algn="ctr">
              <a:solidFill>
                <a:schemeClr val="tx2">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59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(1).xlsx]PT_Category!PivotTable3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layout>
        <c:manualLayout>
          <c:xMode val="edge"/>
          <c:yMode val="edge"/>
          <c:x val="0.38579293262425968"/>
          <c:y val="9.17760279965004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PT_Category!$A$4:$A$6</c:f>
              <c:strCache>
                <c:ptCount val="3"/>
                <c:pt idx="0">
                  <c:v>Kids</c:v>
                </c:pt>
                <c:pt idx="1">
                  <c:v>Men</c:v>
                </c:pt>
                <c:pt idx="2">
                  <c:v>Women</c:v>
                </c:pt>
              </c:strCache>
            </c:strRef>
          </c:cat>
          <c:val>
            <c:numRef>
              <c:f>PT_Category!$B$4:$B$6</c:f>
              <c:numCache>
                <c:formatCode>_ [$₹-4009]\ * #,##0_ ;_ [$₹-4009]\ * \-#,##0_ ;_ [$₹-4009]\ * "-"??_ ;_ @_ </c:formatCode>
                <c:ptCount val="3"/>
                <c:pt idx="0">
                  <c:v>296225.54999999993</c:v>
                </c:pt>
                <c:pt idx="1">
                  <c:v>195510.60000000003</c:v>
                </c:pt>
                <c:pt idx="2">
                  <c:v>215869.74999999997</c:v>
                </c:pt>
              </c:numCache>
            </c:numRef>
          </c:val>
          <c:extLst>
            <c:ext xmlns:c16="http://schemas.microsoft.com/office/drawing/2014/chart" uri="{C3380CC4-5D6E-409C-BE32-E72D297353CC}">
              <c16:uniqueId val="{00000000-02C2-4BB7-8653-7860C547DBC4}"/>
            </c:ext>
          </c:extLst>
        </c:ser>
        <c:dLbls>
          <c:dLblPos val="outEnd"/>
          <c:showLegendKey val="0"/>
          <c:showVal val="1"/>
          <c:showCatName val="0"/>
          <c:showSerName val="0"/>
          <c:showPercent val="0"/>
          <c:showBubbleSize val="0"/>
        </c:dLbls>
        <c:gapWidth val="100"/>
        <c:axId val="40920304"/>
        <c:axId val="40933264"/>
      </c:barChart>
      <c:catAx>
        <c:axId val="409203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33264"/>
        <c:crosses val="autoZero"/>
        <c:auto val="1"/>
        <c:lblAlgn val="ctr"/>
        <c:lblOffset val="100"/>
        <c:noMultiLvlLbl val="0"/>
      </c:catAx>
      <c:valAx>
        <c:axId val="40933264"/>
        <c:scaling>
          <c:orientation val="minMax"/>
        </c:scaling>
        <c:delete val="0"/>
        <c:axPos val="b"/>
        <c:majorGridlines>
          <c:spPr>
            <a:ln w="9525" cap="flat" cmpd="sng" algn="ctr">
              <a:solidFill>
                <a:schemeClr val="tx2">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2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(1).xlsx]PT_State!PivotTable4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State</a:t>
            </a:r>
          </a:p>
        </c:rich>
      </c:tx>
      <c:layout>
        <c:manualLayout>
          <c:xMode val="edge"/>
          <c:yMode val="edge"/>
          <c:x val="0.40991397849462374"/>
          <c:y val="3.9292730844793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PT_State!$B$3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PT_State!$A$4:$A$8</c:f>
              <c:strCache>
                <c:ptCount val="5"/>
                <c:pt idx="0">
                  <c:v>Delhi</c:v>
                </c:pt>
                <c:pt idx="1">
                  <c:v>Karnataka</c:v>
                </c:pt>
                <c:pt idx="2">
                  <c:v>Maharashtra</c:v>
                </c:pt>
                <c:pt idx="3">
                  <c:v>Rajasthan</c:v>
                </c:pt>
                <c:pt idx="4">
                  <c:v>Uttar Pradesh</c:v>
                </c:pt>
              </c:strCache>
            </c:strRef>
          </c:cat>
          <c:val>
            <c:numRef>
              <c:f>PT_State!$B$4:$B$8</c:f>
              <c:numCache>
                <c:formatCode>_ [$₹-4009]\ * #,##0_ ;_ [$₹-4009]\ * \-#,##0_ ;_ [$₹-4009]\ * "-"??_ ;_ @_ </c:formatCode>
                <c:ptCount val="5"/>
                <c:pt idx="0">
                  <c:v>149394.44999999998</c:v>
                </c:pt>
                <c:pt idx="1">
                  <c:v>138937.64999999997</c:v>
                </c:pt>
                <c:pt idx="2">
                  <c:v>122270.9</c:v>
                </c:pt>
                <c:pt idx="3">
                  <c:v>156242.6</c:v>
                </c:pt>
                <c:pt idx="4">
                  <c:v>140760.29999999999</c:v>
                </c:pt>
              </c:numCache>
            </c:numRef>
          </c:val>
          <c:extLst>
            <c:ext xmlns:c16="http://schemas.microsoft.com/office/drawing/2014/chart" uri="{C3380CC4-5D6E-409C-BE32-E72D297353CC}">
              <c16:uniqueId val="{00000000-C2E2-44DF-A12A-47D22D6D7F4A}"/>
            </c:ext>
          </c:extLst>
        </c:ser>
        <c:dLbls>
          <c:dLblPos val="outEnd"/>
          <c:showLegendKey val="0"/>
          <c:showVal val="1"/>
          <c:showCatName val="0"/>
          <c:showSerName val="0"/>
          <c:showPercent val="0"/>
          <c:showBubbleSize val="0"/>
        </c:dLbls>
        <c:gapWidth val="100"/>
        <c:axId val="40920784"/>
        <c:axId val="40927024"/>
      </c:barChart>
      <c:catAx>
        <c:axId val="409207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27024"/>
        <c:crosses val="autoZero"/>
        <c:auto val="1"/>
        <c:lblAlgn val="ctr"/>
        <c:lblOffset val="100"/>
        <c:noMultiLvlLbl val="0"/>
      </c:catAx>
      <c:valAx>
        <c:axId val="40927024"/>
        <c:scaling>
          <c:orientation val="minMax"/>
        </c:scaling>
        <c:delete val="0"/>
        <c:axPos val="b"/>
        <c:majorGridlines>
          <c:spPr>
            <a:ln w="9525" cap="flat" cmpd="sng" algn="ctr">
              <a:solidFill>
                <a:schemeClr val="tx2">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2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(1).xlsx]PT_Payment Mode!PivotTable5</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by Payment Mode</a:t>
            </a:r>
          </a:p>
        </c:rich>
      </c:tx>
      <c:layout>
        <c:manualLayout>
          <c:xMode val="edge"/>
          <c:yMode val="edge"/>
          <c:x val="0.27405630002771392"/>
          <c:y val="7.305336832895886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'PT_Payment Mode'!$B$3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916-4D53-BFBA-192A5CBF076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916-4D53-BFBA-192A5CBF076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916-4D53-BFBA-192A5CBF076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1916-4D53-BFBA-192A5CBF076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1916-4D53-BFBA-192A5CBF076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1916-4D53-BFBA-192A5CBF076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 Mode'!$A$4:$A$6</c:f>
              <c:strCache>
                <c:ptCount val="3"/>
                <c:pt idx="0">
                  <c:v>Card</c:v>
                </c:pt>
                <c:pt idx="1">
                  <c:v>Cash</c:v>
                </c:pt>
                <c:pt idx="2">
                  <c:v>UPI</c:v>
                </c:pt>
              </c:strCache>
            </c:strRef>
          </c:cat>
          <c:val>
            <c:numRef>
              <c:f>'PT_Payment Mode'!$B$4:$B$6</c:f>
              <c:numCache>
                <c:formatCode>_ [$₹-4009]\ * #,##0_ ;_ [$₹-4009]\ * \-#,##0_ ;_ [$₹-4009]\ * "-"??_ ;_ @_ </c:formatCode>
                <c:ptCount val="3"/>
                <c:pt idx="0">
                  <c:v>188555.35</c:v>
                </c:pt>
                <c:pt idx="1">
                  <c:v>230875.75000000003</c:v>
                </c:pt>
                <c:pt idx="2">
                  <c:v>288174.79999999993</c:v>
                </c:pt>
              </c:numCache>
            </c:numRef>
          </c:val>
          <c:extLst>
            <c:ext xmlns:c16="http://schemas.microsoft.com/office/drawing/2014/chart" uri="{C3380CC4-5D6E-409C-BE32-E72D297353CC}">
              <c16:uniqueId val="{00000006-1916-4D53-BFBA-192A5CBF076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(1).xlsx]PT_Channel!PivotTable6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Chaneel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567650918635171"/>
          <c:y val="0.22336504811898514"/>
          <c:w val="0.39454527559055119"/>
          <c:h val="0.65757545931758532"/>
        </c:manualLayout>
      </c:layout>
      <c:doughnutChart>
        <c:varyColors val="1"/>
        <c:ser>
          <c:idx val="0"/>
          <c:order val="0"/>
          <c:tx>
            <c:strRef>
              <c:f>PT_Channel!$B$3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41-490F-9590-B2286C80E8B3}"/>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41-490F-9590-B2286C80E8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PT_Channel!$A$4:$A$5</c:f>
              <c:strCache>
                <c:ptCount val="2"/>
                <c:pt idx="0">
                  <c:v>Offline</c:v>
                </c:pt>
                <c:pt idx="1">
                  <c:v>Online</c:v>
                </c:pt>
              </c:strCache>
            </c:strRef>
          </c:cat>
          <c:val>
            <c:numRef>
              <c:f>PT_Channel!$B$4:$B$5</c:f>
              <c:numCache>
                <c:formatCode>_ [$₹-4009]\ * #,##0_ ;_ [$₹-4009]\ * \-#,##0_ ;_ [$₹-4009]\ * "-"??_ ;_ @_ </c:formatCode>
                <c:ptCount val="2"/>
                <c:pt idx="0">
                  <c:v>371859.0500000001</c:v>
                </c:pt>
                <c:pt idx="1">
                  <c:v>335746.85</c:v>
                </c:pt>
              </c:numCache>
            </c:numRef>
          </c:val>
          <c:extLst>
            <c:ext xmlns:c16="http://schemas.microsoft.com/office/drawing/2014/chart" uri="{C3380CC4-5D6E-409C-BE32-E72D297353CC}">
              <c16:uniqueId val="{00000004-7341-490F-9590-B2286C80E8B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395363079615056"/>
          <c:y val="0.46150298920968219"/>
          <c:w val="0.14215748031496064"/>
          <c:h val="0.20601961213181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(1).xlsx]PT_Monthly!PivotTable8</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2"/>
                </a:solidFill>
              </a:rPr>
              <a:t>Sales by Monthly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PT_Monthly!$A$4:$A$15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PT_Monthly!$B$4:$B$15</c:f>
              <c:numCache>
                <c:formatCode>_ [$₹-4009]\ * #,##0_ ;_ [$₹-4009]\ * \-#,##0_ ;_ [$₹-4009]\ * "-"??_ ;_ @_ </c:formatCode>
                <c:ptCount val="12"/>
                <c:pt idx="0">
                  <c:v>78034.849999999991</c:v>
                </c:pt>
                <c:pt idx="1">
                  <c:v>47629.65</c:v>
                </c:pt>
                <c:pt idx="2">
                  <c:v>89172.9</c:v>
                </c:pt>
                <c:pt idx="3">
                  <c:v>36000.800000000003</c:v>
                </c:pt>
                <c:pt idx="4">
                  <c:v>63525.100000000006</c:v>
                </c:pt>
                <c:pt idx="5">
                  <c:v>36488.300000000003</c:v>
                </c:pt>
                <c:pt idx="6">
                  <c:v>71423.8</c:v>
                </c:pt>
                <c:pt idx="7">
                  <c:v>74943.399999999994</c:v>
                </c:pt>
                <c:pt idx="8">
                  <c:v>22611.300000000003</c:v>
                </c:pt>
                <c:pt idx="9">
                  <c:v>92009.25</c:v>
                </c:pt>
                <c:pt idx="10">
                  <c:v>39292.050000000003</c:v>
                </c:pt>
                <c:pt idx="11">
                  <c:v>56474.499999999993</c:v>
                </c:pt>
              </c:numCache>
            </c:numRef>
          </c:val>
          <c:smooth val="0"/>
          <c:extLst>
            <c:ext xmlns:c16="http://schemas.microsoft.com/office/drawing/2014/chart" uri="{C3380CC4-5D6E-409C-BE32-E72D297353CC}">
              <c16:uniqueId val="{00000000-0551-4EEC-93F7-3F8FF5BB09BD}"/>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2800000"/>
        <c:axId val="102781760"/>
      </c:lineChart>
      <c:catAx>
        <c:axId val="1028000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781760"/>
        <c:crosses val="autoZero"/>
        <c:auto val="1"/>
        <c:lblAlgn val="ctr"/>
        <c:lblOffset val="100"/>
        <c:noMultiLvlLbl val="0"/>
      </c:catAx>
      <c:valAx>
        <c:axId val="102781760"/>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8000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(1).xlsx]PT_State!PivotTable4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State</a:t>
            </a:r>
          </a:p>
        </c:rich>
      </c:tx>
      <c:layout>
        <c:manualLayout>
          <c:xMode val="edge"/>
          <c:yMode val="edge"/>
          <c:x val="0.40991397849462374"/>
          <c:y val="3.9292730844793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PT_State!$B$3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PT_State!$A$4:$A$8</c:f>
              <c:strCache>
                <c:ptCount val="5"/>
                <c:pt idx="0">
                  <c:v>Delhi</c:v>
                </c:pt>
                <c:pt idx="1">
                  <c:v>Karnataka</c:v>
                </c:pt>
                <c:pt idx="2">
                  <c:v>Maharashtra</c:v>
                </c:pt>
                <c:pt idx="3">
                  <c:v>Rajasthan</c:v>
                </c:pt>
                <c:pt idx="4">
                  <c:v>Uttar Pradesh</c:v>
                </c:pt>
              </c:strCache>
            </c:strRef>
          </c:cat>
          <c:val>
            <c:numRef>
              <c:f>PT_State!$B$4:$B$8</c:f>
              <c:numCache>
                <c:formatCode>_ [$₹-4009]\ * #,##0_ ;_ [$₹-4009]\ * \-#,##0_ ;_ [$₹-4009]\ * "-"??_ ;_ @_ </c:formatCode>
                <c:ptCount val="5"/>
                <c:pt idx="0">
                  <c:v>149394.44999999998</c:v>
                </c:pt>
                <c:pt idx="1">
                  <c:v>138937.64999999997</c:v>
                </c:pt>
                <c:pt idx="2">
                  <c:v>122270.9</c:v>
                </c:pt>
                <c:pt idx="3">
                  <c:v>156242.6</c:v>
                </c:pt>
                <c:pt idx="4">
                  <c:v>140760.29999999999</c:v>
                </c:pt>
              </c:numCache>
            </c:numRef>
          </c:val>
          <c:extLst>
            <c:ext xmlns:c16="http://schemas.microsoft.com/office/drawing/2014/chart" uri="{C3380CC4-5D6E-409C-BE32-E72D297353CC}">
              <c16:uniqueId val="{00000000-45DA-47A1-83C2-2080B69129B0}"/>
            </c:ext>
          </c:extLst>
        </c:ser>
        <c:dLbls>
          <c:dLblPos val="outEnd"/>
          <c:showLegendKey val="0"/>
          <c:showVal val="1"/>
          <c:showCatName val="0"/>
          <c:showSerName val="0"/>
          <c:showPercent val="0"/>
          <c:showBubbleSize val="0"/>
        </c:dLbls>
        <c:gapWidth val="100"/>
        <c:axId val="40920784"/>
        <c:axId val="40927024"/>
      </c:barChart>
      <c:catAx>
        <c:axId val="409207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27024"/>
        <c:crosses val="autoZero"/>
        <c:auto val="1"/>
        <c:lblAlgn val="ctr"/>
        <c:lblOffset val="100"/>
        <c:noMultiLvlLbl val="0"/>
      </c:catAx>
      <c:valAx>
        <c:axId val="40927024"/>
        <c:scaling>
          <c:orientation val="minMax"/>
        </c:scaling>
        <c:delete val="0"/>
        <c:axPos val="b"/>
        <c:majorGridlines>
          <c:spPr>
            <a:ln w="9525" cap="flat" cmpd="sng" algn="ctr">
              <a:solidFill>
                <a:schemeClr val="tx2">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92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(1).xlsx]PT_Payment Mode!PivotTable5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by Payment Mode</a:t>
            </a:r>
          </a:p>
        </c:rich>
      </c:tx>
      <c:layout>
        <c:manualLayout>
          <c:xMode val="edge"/>
          <c:yMode val="edge"/>
          <c:x val="0.27405630002771392"/>
          <c:y val="7.3053368328958868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'PT_Payment Mode'!$B$3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507-48B5-8E6D-754E1865B53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507-48B5-8E6D-754E1865B53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507-48B5-8E6D-754E1865B53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 Mode'!$A$4:$A$6</c:f>
              <c:strCache>
                <c:ptCount val="3"/>
                <c:pt idx="0">
                  <c:v>Card</c:v>
                </c:pt>
                <c:pt idx="1">
                  <c:v>Cash</c:v>
                </c:pt>
                <c:pt idx="2">
                  <c:v>UPI</c:v>
                </c:pt>
              </c:strCache>
            </c:strRef>
          </c:cat>
          <c:val>
            <c:numRef>
              <c:f>'PT_Payment Mode'!$B$4:$B$6</c:f>
              <c:numCache>
                <c:formatCode>_ [$₹-4009]\ * #,##0_ ;_ [$₹-4009]\ * \-#,##0_ ;_ [$₹-4009]\ * "-"??_ ;_ @_ </c:formatCode>
                <c:ptCount val="3"/>
                <c:pt idx="0">
                  <c:v>188555.35</c:v>
                </c:pt>
                <c:pt idx="1">
                  <c:v>230875.75000000003</c:v>
                </c:pt>
                <c:pt idx="2">
                  <c:v>288174.79999999993</c:v>
                </c:pt>
              </c:numCache>
            </c:numRef>
          </c:val>
          <c:extLst>
            <c:ext xmlns:c16="http://schemas.microsoft.com/office/drawing/2014/chart" uri="{C3380CC4-5D6E-409C-BE32-E72D297353CC}">
              <c16:uniqueId val="{00000000-F507-48B5-8E6D-754E1865B53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(1).xlsx]PT_Channel!PivotTable6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Chaneel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567650918635171"/>
          <c:y val="0.22336504811898514"/>
          <c:w val="0.39454527559055119"/>
          <c:h val="0.65757545931758532"/>
        </c:manualLayout>
      </c:layout>
      <c:doughnutChart>
        <c:varyColors val="1"/>
        <c:ser>
          <c:idx val="0"/>
          <c:order val="0"/>
          <c:tx>
            <c:strRef>
              <c:f>PT_Channel!$B$3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91-44CC-AD15-7C32E2CA432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91-44CC-AD15-7C32E2CA43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PT_Channel!$A$4:$A$5</c:f>
              <c:strCache>
                <c:ptCount val="2"/>
                <c:pt idx="0">
                  <c:v>Offline</c:v>
                </c:pt>
                <c:pt idx="1">
                  <c:v>Online</c:v>
                </c:pt>
              </c:strCache>
            </c:strRef>
          </c:cat>
          <c:val>
            <c:numRef>
              <c:f>PT_Channel!$B$4:$B$5</c:f>
              <c:numCache>
                <c:formatCode>_ [$₹-4009]\ * #,##0_ ;_ [$₹-4009]\ * \-#,##0_ ;_ [$₹-4009]\ * "-"??_ ;_ @_ </c:formatCode>
                <c:ptCount val="2"/>
                <c:pt idx="0">
                  <c:v>371859.0500000001</c:v>
                </c:pt>
                <c:pt idx="1">
                  <c:v>335746.85</c:v>
                </c:pt>
              </c:numCache>
            </c:numRef>
          </c:val>
          <c:extLst>
            <c:ext xmlns:c16="http://schemas.microsoft.com/office/drawing/2014/chart" uri="{C3380CC4-5D6E-409C-BE32-E72D297353CC}">
              <c16:uniqueId val="{00000000-A86F-4E0C-AC11-BD45ECBF744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395363079615056"/>
          <c:y val="0.46150298920968219"/>
          <c:w val="0.14215748031496064"/>
          <c:h val="0.20601961213181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[Indian_Clothing_Sales_Project Dashboard (1).xlsx]PT_Monthly!PivotTable8</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2"/>
                </a:solidFill>
              </a:rPr>
              <a:t>Sales by Monthly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PT_Monthly!$A$4:$A$15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PT_Monthly!$B$4:$B$15</c:f>
              <c:numCache>
                <c:formatCode>_ [$₹-4009]\ * #,##0_ ;_ [$₹-4009]\ * \-#,##0_ ;_ [$₹-4009]\ * "-"??_ ;_ @_ </c:formatCode>
                <c:ptCount val="12"/>
                <c:pt idx="0">
                  <c:v>78034.849999999991</c:v>
                </c:pt>
                <c:pt idx="1">
                  <c:v>47629.65</c:v>
                </c:pt>
                <c:pt idx="2">
                  <c:v>89172.9</c:v>
                </c:pt>
                <c:pt idx="3">
                  <c:v>36000.800000000003</c:v>
                </c:pt>
                <c:pt idx="4">
                  <c:v>63525.100000000006</c:v>
                </c:pt>
                <c:pt idx="5">
                  <c:v>36488.300000000003</c:v>
                </c:pt>
                <c:pt idx="6">
                  <c:v>71423.8</c:v>
                </c:pt>
                <c:pt idx="7">
                  <c:v>74943.399999999994</c:v>
                </c:pt>
                <c:pt idx="8">
                  <c:v>22611.300000000003</c:v>
                </c:pt>
                <c:pt idx="9">
                  <c:v>92009.25</c:v>
                </c:pt>
                <c:pt idx="10">
                  <c:v>39292.050000000003</c:v>
                </c:pt>
                <c:pt idx="11">
                  <c:v>56474.499999999993</c:v>
                </c:pt>
              </c:numCache>
            </c:numRef>
          </c:val>
          <c:smooth val="0"/>
          <c:extLst>
            <c:ext xmlns:c16="http://schemas.microsoft.com/office/drawing/2014/chart" uri="{C3380CC4-5D6E-409C-BE32-E72D297353CC}">
              <c16:uniqueId val="{00000000-56E0-431F-9466-E829FA40042D}"/>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2800000"/>
        <c:axId val="102781760"/>
      </c:lineChart>
      <c:catAx>
        <c:axId val="1028000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781760"/>
        <c:crosses val="autoZero"/>
        <c:auto val="1"/>
        <c:lblAlgn val="ctr"/>
        <c:lblOffset val="100"/>
        <c:noMultiLvlLbl val="0"/>
      </c:catAx>
      <c:valAx>
        <c:axId val="102781760"/>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8000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121920</xdr:colOff>
      <xdr:row>0</xdr:row>
      <xdr:rowOff>160020</xdr:rowOff>
    </xdr:from>
    <xdr:to>
      <xdr:col>13</xdr:col>
      <xdr:colOff>419100</xdr:colOff>
      <xdr:row>21</xdr:row>
      <xdr:rowOff>106680</xdr:rowOff>
    </xdr:to>
    <xdr:graphicFrame macro="">
      <xdr:nvGraphicFramePr>
        <xdr:cNvPr id="2" name="Chart 1">
          <a:extLst>
            <a:ext uri="{FF2B5EF4-FFF2-40B4-BE49-F238E27FC236}">
              <a16:creationId xmlns:a16="http://schemas.microsoft.com/office/drawing/2014/main" id="{67F85044-8879-2561-6DE4-A3D386EE2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1</xdr:row>
      <xdr:rowOff>7620</xdr:rowOff>
    </xdr:from>
    <xdr:to>
      <xdr:col>13</xdr:col>
      <xdr:colOff>580740</xdr:colOff>
      <xdr:row>21</xdr:row>
      <xdr:rowOff>137220</xdr:rowOff>
    </xdr:to>
    <xdr:graphicFrame macro="">
      <xdr:nvGraphicFramePr>
        <xdr:cNvPr id="2" name="Chart 1">
          <a:extLst>
            <a:ext uri="{FF2B5EF4-FFF2-40B4-BE49-F238E27FC236}">
              <a16:creationId xmlns:a16="http://schemas.microsoft.com/office/drawing/2014/main" id="{004A380C-1A65-E52A-32E8-DA8A35AE6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19</xdr:row>
      <xdr:rowOff>68580</xdr:rowOff>
    </xdr:from>
    <xdr:to>
      <xdr:col>8</xdr:col>
      <xdr:colOff>152400</xdr:colOff>
      <xdr:row>40</xdr:row>
      <xdr:rowOff>15240</xdr:rowOff>
    </xdr:to>
    <xdr:graphicFrame macro="">
      <xdr:nvGraphicFramePr>
        <xdr:cNvPr id="3" name="Chart 2">
          <a:extLst>
            <a:ext uri="{FF2B5EF4-FFF2-40B4-BE49-F238E27FC236}">
              <a16:creationId xmlns:a16="http://schemas.microsoft.com/office/drawing/2014/main" id="{80FD21DC-F42D-4550-BA0E-81C58BB6D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480060</xdr:colOff>
      <xdr:row>19</xdr:row>
      <xdr:rowOff>91440</xdr:rowOff>
    </xdr:from>
    <xdr:to>
      <xdr:col>18</xdr:col>
      <xdr:colOff>169260</xdr:colOff>
      <xdr:row>40</xdr:row>
      <xdr:rowOff>38160</xdr:rowOff>
    </xdr:to>
    <xdr:graphicFrame macro="">
      <xdr:nvGraphicFramePr>
        <xdr:cNvPr id="4" name="Chart 3">
          <a:extLst>
            <a:ext uri="{FF2B5EF4-FFF2-40B4-BE49-F238E27FC236}">
              <a16:creationId xmlns:a16="http://schemas.microsoft.com/office/drawing/2014/main" id="{3C2E5D5A-6EF7-4476-9B59-85F593859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158750</xdr:colOff>
      <xdr:row>42</xdr:row>
      <xdr:rowOff>95250</xdr:rowOff>
    </xdr:from>
    <xdr:to>
      <xdr:col>8</xdr:col>
      <xdr:colOff>192967</xdr:colOff>
      <xdr:row>63</xdr:row>
      <xdr:rowOff>44933</xdr:rowOff>
    </xdr:to>
    <xdr:graphicFrame macro="">
      <xdr:nvGraphicFramePr>
        <xdr:cNvPr id="5" name="Chart 4">
          <a:extLst>
            <a:ext uri="{FF2B5EF4-FFF2-40B4-BE49-F238E27FC236}">
              <a16:creationId xmlns:a16="http://schemas.microsoft.com/office/drawing/2014/main" id="{71528B0B-383D-47B6-8214-5008BE346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597324</xdr:colOff>
      <xdr:row>42</xdr:row>
      <xdr:rowOff>103716</xdr:rowOff>
    </xdr:from>
    <xdr:to>
      <xdr:col>18</xdr:col>
      <xdr:colOff>272553</xdr:colOff>
      <xdr:row>63</xdr:row>
      <xdr:rowOff>53399</xdr:rowOff>
    </xdr:to>
    <xdr:graphicFrame macro="">
      <xdr:nvGraphicFramePr>
        <xdr:cNvPr id="6" name="Chart 5">
          <a:extLst>
            <a:ext uri="{FF2B5EF4-FFF2-40B4-BE49-F238E27FC236}">
              <a16:creationId xmlns:a16="http://schemas.microsoft.com/office/drawing/2014/main" id="{74B0342D-4031-4F50-A8CC-84975ABC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304801</xdr:colOff>
      <xdr:row>65</xdr:row>
      <xdr:rowOff>70274</xdr:rowOff>
    </xdr:from>
    <xdr:to>
      <xdr:col>8</xdr:col>
      <xdr:colOff>339018</xdr:colOff>
      <xdr:row>86</xdr:row>
      <xdr:rowOff>16994</xdr:rowOff>
    </xdr:to>
    <xdr:graphicFrame macro="">
      <xdr:nvGraphicFramePr>
        <xdr:cNvPr id="7" name="Chart 6">
          <a:extLst>
            <a:ext uri="{FF2B5EF4-FFF2-40B4-BE49-F238E27FC236}">
              <a16:creationId xmlns:a16="http://schemas.microsoft.com/office/drawing/2014/main" id="{ED9F5781-DBEB-469A-BF41-8455C5C19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214630</xdr:colOff>
      <xdr:row>65</xdr:row>
      <xdr:rowOff>116418</xdr:rowOff>
    </xdr:from>
    <xdr:to>
      <xdr:col>18</xdr:col>
      <xdr:colOff>513430</xdr:colOff>
      <xdr:row>86</xdr:row>
      <xdr:rowOff>66101</xdr:rowOff>
    </xdr:to>
    <xdr:graphicFrame macro="">
      <xdr:nvGraphicFramePr>
        <xdr:cNvPr id="8" name="Chart 7">
          <a:extLst>
            <a:ext uri="{FF2B5EF4-FFF2-40B4-BE49-F238E27FC236}">
              <a16:creationId xmlns:a16="http://schemas.microsoft.com/office/drawing/2014/main" id="{4B20C52F-FF4E-451E-A0B9-0BB6CB7D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205619</xdr:colOff>
      <xdr:row>19</xdr:row>
      <xdr:rowOff>36286</xdr:rowOff>
    </xdr:from>
    <xdr:to>
      <xdr:col>23</xdr:col>
      <xdr:colOff>266096</xdr:colOff>
      <xdr:row>37</xdr:row>
      <xdr:rowOff>12095</xdr:rowOff>
    </xdr:to>
    <mc:AlternateContent xmlns:mc="http://schemas.openxmlformats.org/markup-compatibility/2006" xmlns:a14="http://schemas.microsoft.com/office/drawing/2010/main">
      <mc:Choice Requires="a14">
        <xdr:graphicFrame macro="">
          <xdr:nvGraphicFramePr>
            <xdr:cNvPr id="9" name="Brand 1">
              <a:extLst>
                <a:ext uri="{FF2B5EF4-FFF2-40B4-BE49-F238E27FC236}">
                  <a16:creationId xmlns:a16="http://schemas.microsoft.com/office/drawing/2014/main" id="{86B5A797-F992-4150-96D8-D20993CD57E4}"/>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2623838" y="3429567"/>
              <a:ext cx="2489352" cy="3190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60476</xdr:colOff>
      <xdr:row>19</xdr:row>
      <xdr:rowOff>48381</xdr:rowOff>
    </xdr:from>
    <xdr:to>
      <xdr:col>27</xdr:col>
      <xdr:colOff>544285</xdr:colOff>
      <xdr:row>36</xdr:row>
      <xdr:rowOff>169333</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F2EE3DF7-EE43-4DB4-8FC8-AE07A19436D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514789" y="3441662"/>
              <a:ext cx="2305465" cy="3157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253999</xdr:colOff>
      <xdr:row>42</xdr:row>
      <xdr:rowOff>120952</xdr:rowOff>
    </xdr:from>
    <xdr:to>
      <xdr:col>23</xdr:col>
      <xdr:colOff>326571</xdr:colOff>
      <xdr:row>60</xdr:row>
      <xdr:rowOff>169333</xdr:rowOff>
    </xdr:to>
    <mc:AlternateContent xmlns:mc="http://schemas.openxmlformats.org/markup-compatibility/2006" xmlns:a14="http://schemas.microsoft.com/office/drawing/2010/main">
      <mc:Choice Requires="a14">
        <xdr:graphicFrame macro="">
          <xdr:nvGraphicFramePr>
            <xdr:cNvPr id="11" name="State 1">
              <a:extLst>
                <a:ext uri="{FF2B5EF4-FFF2-40B4-BE49-F238E27FC236}">
                  <a16:creationId xmlns:a16="http://schemas.microsoft.com/office/drawing/2014/main" id="{48A02558-6A1D-4859-ADA5-B9C47004051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672218" y="7621890"/>
              <a:ext cx="2501447" cy="3263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84666</xdr:colOff>
      <xdr:row>42</xdr:row>
      <xdr:rowOff>157238</xdr:rowOff>
    </xdr:from>
    <xdr:to>
      <xdr:col>28</xdr:col>
      <xdr:colOff>60476</xdr:colOff>
      <xdr:row>60</xdr:row>
      <xdr:rowOff>157238</xdr:rowOff>
    </xdr:to>
    <mc:AlternateContent xmlns:mc="http://schemas.openxmlformats.org/markup-compatibility/2006" xmlns:a14="http://schemas.microsoft.com/office/drawing/2010/main">
      <mc:Choice Requires="a14">
        <xdr:graphicFrame macro="">
          <xdr:nvGraphicFramePr>
            <xdr:cNvPr id="12" name="Payment Mode 1">
              <a:extLst>
                <a:ext uri="{FF2B5EF4-FFF2-40B4-BE49-F238E27FC236}">
                  <a16:creationId xmlns:a16="http://schemas.microsoft.com/office/drawing/2014/main" id="{05688958-E355-4AB2-9F3E-F223DD544B01}"/>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5538979" y="7658176"/>
              <a:ext cx="2404685" cy="3214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266096</xdr:colOff>
      <xdr:row>65</xdr:row>
      <xdr:rowOff>12095</xdr:rowOff>
    </xdr:from>
    <xdr:to>
      <xdr:col>23</xdr:col>
      <xdr:colOff>338667</xdr:colOff>
      <xdr:row>82</xdr:row>
      <xdr:rowOff>157238</xdr:rowOff>
    </xdr:to>
    <mc:AlternateContent xmlns:mc="http://schemas.openxmlformats.org/markup-compatibility/2006" xmlns:a14="http://schemas.microsoft.com/office/drawing/2010/main">
      <mc:Choice Requires="a14">
        <xdr:graphicFrame macro="">
          <xdr:nvGraphicFramePr>
            <xdr:cNvPr id="13" name="Sales Channel 1">
              <a:extLst>
                <a:ext uri="{FF2B5EF4-FFF2-40B4-BE49-F238E27FC236}">
                  <a16:creationId xmlns:a16="http://schemas.microsoft.com/office/drawing/2014/main" id="{CCCE1DFE-0159-425F-BD59-C5CAC01CDAC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2684315" y="11620689"/>
              <a:ext cx="2501446" cy="3181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24190</xdr:colOff>
      <xdr:row>65</xdr:row>
      <xdr:rowOff>24191</xdr:rowOff>
    </xdr:from>
    <xdr:to>
      <xdr:col>28</xdr:col>
      <xdr:colOff>157238</xdr:colOff>
      <xdr:row>82</xdr:row>
      <xdr:rowOff>169333</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A53DA818-6A91-4D52-9BEC-A9AEC454238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478503" y="11632785"/>
              <a:ext cx="2561923" cy="3181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121920</xdr:colOff>
      <xdr:row>0</xdr:row>
      <xdr:rowOff>99060</xdr:rowOff>
    </xdr:from>
    <xdr:to>
      <xdr:col>13</xdr:col>
      <xdr:colOff>420720</xdr:colOff>
      <xdr:row>21</xdr:row>
      <xdr:rowOff>45780</xdr:rowOff>
    </xdr:to>
    <xdr:graphicFrame macro="">
      <xdr:nvGraphicFramePr>
        <xdr:cNvPr id="2" name="Chart 1">
          <a:extLst>
            <a:ext uri="{FF2B5EF4-FFF2-40B4-BE49-F238E27FC236}">
              <a16:creationId xmlns:a16="http://schemas.microsoft.com/office/drawing/2014/main" id="{F7EB69A3-6D5E-218C-1AF4-325FC30AD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297180</xdr:colOff>
      <xdr:row>1</xdr:row>
      <xdr:rowOff>45720</xdr:rowOff>
    </xdr:from>
    <xdr:to>
      <xdr:col>13</xdr:col>
      <xdr:colOff>595980</xdr:colOff>
      <xdr:row>21</xdr:row>
      <xdr:rowOff>175320</xdr:rowOff>
    </xdr:to>
    <xdr:graphicFrame macro="">
      <xdr:nvGraphicFramePr>
        <xdr:cNvPr id="2" name="Chart 1">
          <a:extLst>
            <a:ext uri="{FF2B5EF4-FFF2-40B4-BE49-F238E27FC236}">
              <a16:creationId xmlns:a16="http://schemas.microsoft.com/office/drawing/2014/main" id="{9808483D-AE8B-4107-F299-10C409533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594360</xdr:colOff>
      <xdr:row>1</xdr:row>
      <xdr:rowOff>22860</xdr:rowOff>
    </xdr:from>
    <xdr:to>
      <xdr:col>13</xdr:col>
      <xdr:colOff>283560</xdr:colOff>
      <xdr:row>21</xdr:row>
      <xdr:rowOff>152460</xdr:rowOff>
    </xdr:to>
    <xdr:graphicFrame macro="">
      <xdr:nvGraphicFramePr>
        <xdr:cNvPr id="2" name="Chart 1">
          <a:extLst>
            <a:ext uri="{FF2B5EF4-FFF2-40B4-BE49-F238E27FC236}">
              <a16:creationId xmlns:a16="http://schemas.microsoft.com/office/drawing/2014/main" id="{71C52F2D-1150-9B94-9DAD-2C30E40FD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502920</xdr:colOff>
      <xdr:row>1</xdr:row>
      <xdr:rowOff>0</xdr:rowOff>
    </xdr:from>
    <xdr:to>
      <xdr:col>14</xdr:col>
      <xdr:colOff>192120</xdr:colOff>
      <xdr:row>21</xdr:row>
      <xdr:rowOff>129600</xdr:rowOff>
    </xdr:to>
    <xdr:graphicFrame macro="">
      <xdr:nvGraphicFramePr>
        <xdr:cNvPr id="2" name="Chart 1">
          <a:extLst>
            <a:ext uri="{FF2B5EF4-FFF2-40B4-BE49-F238E27FC236}">
              <a16:creationId xmlns:a16="http://schemas.microsoft.com/office/drawing/2014/main" id="{D2B6E324-5102-FD80-F217-B28455294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 refreshedDate="46224.483133796297" createdVersion="8" refreshedVersion="8" minRefreshableVersion="3" recordCount="200" xr:uid="{96D4B126-C3E1-42C8-A31E-3ADB89EE43BF}">
  <cacheSource type="worksheet">
    <worksheetSource ref="A1:Y201" sheet="SalesData"/>
  </cacheSource>
  <cacheFields count="25">
    <cacheField name="Order ID" numFmtId="0">
      <sharedItems/>
    </cacheField>
    <cacheField name="Order Date" numFmtId="0">
      <sharedItems/>
    </cacheField>
    <cacheField name="Month" numFmtId="0">
      <sharedItems count="12">
        <s v="October"/>
        <s v="August"/>
        <s v="November"/>
        <s v="May"/>
        <s v="January"/>
        <s v="December"/>
        <s v="March"/>
        <s v="July"/>
        <s v="February"/>
        <s v="June"/>
        <s v="September"/>
        <s v="April"/>
      </sharedItems>
    </cacheField>
    <cacheField name="Customer Name" numFmtId="0">
      <sharedItems/>
    </cacheField>
    <cacheField name="Customer ID" numFmtId="0">
      <sharedItems/>
    </cacheField>
    <cacheField name="Gender" numFmtId="0">
      <sharedItems/>
    </cacheField>
    <cacheField name="Age" numFmtId="0">
      <sharedItems containsSemiMixedTypes="0" containsString="0" containsNumber="1" containsInteger="1" minValue="18" maxValue="55"/>
    </cacheField>
    <cacheField name="State" numFmtId="0">
      <sharedItems count="5">
        <s v="Rajasthan"/>
        <s v="Maharashtra"/>
        <s v="Delhi"/>
        <s v="Karnataka"/>
        <s v="Uttar Pradesh"/>
      </sharedItems>
    </cacheField>
    <cacheField name="City" numFmtId="0">
      <sharedItems/>
    </cacheField>
    <cacheField name="Category" numFmtId="0">
      <sharedItems count="3">
        <s v="Kids"/>
        <s v="Women"/>
        <s v="Men"/>
      </sharedItems>
    </cacheField>
    <cacheField name="Sub Category" numFmtId="0">
      <sharedItems/>
    </cacheField>
    <cacheField name="Product" numFmtId="0">
      <sharedItems/>
    </cacheField>
    <cacheField name="Brand" numFmtId="0">
      <sharedItems count="5">
        <s v="Roadster"/>
        <s v="Biba"/>
        <s v="Puma"/>
        <s v="Nike"/>
        <s v="Levis"/>
      </sharedItems>
    </cacheField>
    <cacheField name="Size" numFmtId="0">
      <sharedItems/>
    </cacheField>
    <cacheField name="Color" numFmtId="0">
      <sharedItems/>
    </cacheField>
    <cacheField name="Quantity" numFmtId="0">
      <sharedItems containsSemiMixedTypes="0" containsString="0" containsNumber="1" containsInteger="1" minValue="1" maxValue="5"/>
    </cacheField>
    <cacheField name="Unit Cost" numFmtId="0">
      <sharedItems containsSemiMixedTypes="0" containsString="0" containsNumber="1" containsInteger="1" minValue="300" maxValue="1495"/>
    </cacheField>
    <cacheField name="Unit Price" numFmtId="0">
      <sharedItems containsSemiMixedTypes="0" containsString="0" containsNumber="1" containsInteger="1" minValue="489" maxValue="2160"/>
    </cacheField>
    <cacheField name="Discount %" numFmtId="0">
      <sharedItems containsSemiMixedTypes="0" containsString="0" containsNumber="1" containsInteger="1" minValue="0" maxValue="20"/>
    </cacheField>
    <cacheField name="Sales" numFmtId="0">
      <sharedItems containsSemiMixedTypes="0" containsString="0" containsNumber="1" minValue="691.2" maxValue="9634.5"/>
    </cacheField>
    <cacheField name="Cost" numFmtId="0">
      <sharedItems containsSemiMixedTypes="0" containsString="0" containsNumber="1" containsInteger="1" minValue="430" maxValue="7365"/>
    </cacheField>
    <cacheField name="Profit" numFmtId="0">
      <sharedItems containsSemiMixedTypes="0" containsString="0" containsNumber="1" minValue="-859" maxValue="3426.5"/>
    </cacheField>
    <cacheField name="Payment Mode" numFmtId="0">
      <sharedItems count="3">
        <s v="Cash"/>
        <s v="UPI"/>
        <s v="Card"/>
      </sharedItems>
    </cacheField>
    <cacheField name="Sales Channel" numFmtId="0">
      <sharedItems count="2">
        <s v="Offline"/>
        <s v="Online"/>
      </sharedItems>
    </cacheField>
    <cacheField name="Order Status" numFmtId="0">
      <sharedItems/>
    </cacheField>
  </cacheFields>
  <extLst>
    <ext xmlns:x14="http://schemas.microsoft.com/office/spreadsheetml/2009/9/main" uri="{725AE2AE-9491-48be-B2B4-4EB974FC3084}">
      <x14:pivotCacheDefinition pivotCacheId="1338675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s v="23-10-2025"/>
    <x v="0"/>
    <s v="Pooja  "/>
    <s v="CUST174"/>
    <s v="Female"/>
    <n v="54"/>
    <x v="0"/>
    <s v="Jaipur"/>
    <x v="0"/>
    <s v="Tshirt"/>
    <s v="Tshirt"/>
    <x v="0"/>
    <s v="XL"/>
    <s v="White"/>
    <n v="4"/>
    <n v="1092"/>
    <n v="1672"/>
    <n v="5"/>
    <n v="6353.5999999999995"/>
    <n v="4368"/>
    <n v="1985.5999999999995"/>
    <x v="0"/>
    <x v="0"/>
    <s v="Delivered"/>
  </r>
  <r>
    <s v="ORD1002"/>
    <s v="26-08-2025"/>
    <x v="1"/>
    <s v="Vikas"/>
    <s v="CUST165"/>
    <s v="Female"/>
    <n v="26"/>
    <x v="1"/>
    <s v="Mumbai"/>
    <x v="0"/>
    <s v="Tshirt"/>
    <s v="Tshirt"/>
    <x v="0"/>
    <s v="M"/>
    <s v="Blue"/>
    <n v="1"/>
    <n v="699"/>
    <n v="879"/>
    <n v="0"/>
    <n v="879"/>
    <n v="699"/>
    <n v="180"/>
    <x v="1"/>
    <x v="1"/>
    <s v="Returned"/>
  </r>
  <r>
    <s v="ORD1003"/>
    <s v="19-11-2025"/>
    <x v="2"/>
    <s v="Amit"/>
    <s v="CUST148"/>
    <s v="Male"/>
    <n v="22"/>
    <x v="2"/>
    <s v="Delhi"/>
    <x v="1"/>
    <s v="Kurti"/>
    <s v="Kurti"/>
    <x v="1"/>
    <s v="S"/>
    <s v="Black"/>
    <n v="3"/>
    <n v="1244"/>
    <n v="1730"/>
    <n v="15"/>
    <n v="4411.5"/>
    <n v="3732"/>
    <n v="679.5"/>
    <x v="0"/>
    <x v="0"/>
    <s v="Delivered"/>
  </r>
  <r>
    <s v="ORD1004"/>
    <s v="10-05-2025"/>
    <x v="3"/>
    <s v="Neha"/>
    <s v="CUST146"/>
    <s v="Male"/>
    <n v="42"/>
    <x v="3"/>
    <s v="Bengaluru"/>
    <x v="1"/>
    <s v="Saree"/>
    <s v="Saree"/>
    <x v="2"/>
    <s v="S"/>
    <s v="Blue"/>
    <n v="3"/>
    <n v="439"/>
    <n v="862"/>
    <n v="15"/>
    <n v="2198.1"/>
    <n v="1317"/>
    <n v="881.09999999999991"/>
    <x v="2"/>
    <x v="0"/>
    <s v="Delivered"/>
  </r>
  <r>
    <s v="ORD1005"/>
    <s v="23-10-2025"/>
    <x v="0"/>
    <s v="Sumit"/>
    <s v="CUST179"/>
    <s v="Female"/>
    <n v="39"/>
    <x v="2"/>
    <s v="Delhi"/>
    <x v="0"/>
    <s v="Tshirt"/>
    <s v="Tshirt"/>
    <x v="1"/>
    <s v="L"/>
    <s v="Green"/>
    <n v="2"/>
    <n v="1290"/>
    <n v="2012"/>
    <n v="5"/>
    <n v="3822.7999999999997"/>
    <n v="2580"/>
    <n v="1242.7999999999997"/>
    <x v="0"/>
    <x v="0"/>
    <s v="Delivered"/>
  </r>
  <r>
    <s v="ORD1006"/>
    <s v="27-01-2025"/>
    <x v="4"/>
    <s v="Pooja"/>
    <s v="CUST178"/>
    <s v="Female"/>
    <n v="49"/>
    <x v="3"/>
    <s v="Bengaluru"/>
    <x v="1"/>
    <s v="Saree"/>
    <s v="Saree"/>
    <x v="1"/>
    <s v="XL"/>
    <s v="Green"/>
    <n v="4"/>
    <n v="417"/>
    <n v="653"/>
    <n v="10"/>
    <n v="2350.8000000000002"/>
    <n v="1668"/>
    <n v="682.80000000000018"/>
    <x v="1"/>
    <x v="1"/>
    <s v="Returned"/>
  </r>
  <r>
    <s v="ORD1007"/>
    <s v="30-05-2025"/>
    <x v="3"/>
    <s v="Sneha"/>
    <s v="CUST115"/>
    <s v="Male"/>
    <n v="39"/>
    <x v="2"/>
    <s v="Delhi"/>
    <x v="2"/>
    <s v="Shirts"/>
    <s v="Shirts"/>
    <x v="3"/>
    <s v="S"/>
    <s v="Blue"/>
    <n v="2"/>
    <n v="640"/>
    <n v="1133"/>
    <n v="15"/>
    <n v="1926.1"/>
    <n v="1280"/>
    <n v="646.09999999999991"/>
    <x v="1"/>
    <x v="0"/>
    <s v="Delivered"/>
  </r>
  <r>
    <s v="ORD1008"/>
    <s v="29-05-2025"/>
    <x v="3"/>
    <s v="Priya"/>
    <s v="CUST115"/>
    <s v="Female"/>
    <n v="24"/>
    <x v="0"/>
    <s v="Jaipur"/>
    <x v="2"/>
    <s v="Shirts"/>
    <s v="Shirts"/>
    <x v="4"/>
    <s v="S"/>
    <s v="White"/>
    <n v="3"/>
    <n v="1483"/>
    <n v="1766"/>
    <n v="0"/>
    <n v="5298"/>
    <n v="4449"/>
    <n v="849"/>
    <x v="1"/>
    <x v="0"/>
    <s v="Delivered"/>
  </r>
  <r>
    <s v="ORD1009"/>
    <s v="02-12-2025"/>
    <x v="5"/>
    <s v="Rohit"/>
    <s v="CUST134"/>
    <s v="Male"/>
    <n v="45"/>
    <x v="4"/>
    <s v="Lucknow"/>
    <x v="0"/>
    <s v="Tshirt"/>
    <s v="Tshirt"/>
    <x v="4"/>
    <s v="XL"/>
    <s v="Green"/>
    <n v="2"/>
    <n v="814"/>
    <n v="1422"/>
    <n v="10"/>
    <n v="2559.6"/>
    <n v="1628"/>
    <n v="931.59999999999991"/>
    <x v="2"/>
    <x v="1"/>
    <s v="Delivered"/>
  </r>
  <r>
    <s v="ORD1010"/>
    <s v="05-03-2025"/>
    <x v="6"/>
    <s v="Pooja"/>
    <s v="CUST188"/>
    <s v="Female"/>
    <n v="36"/>
    <x v="2"/>
    <s v="Delhi"/>
    <x v="0"/>
    <s v="Tshirt"/>
    <s v="Tshirt"/>
    <x v="2"/>
    <s v="XL"/>
    <s v="Green"/>
    <n v="1"/>
    <n v="1358"/>
    <n v="2118"/>
    <n v="10"/>
    <n v="1906.2"/>
    <n v="1358"/>
    <n v="548.20000000000005"/>
    <x v="1"/>
    <x v="0"/>
    <s v="Returned"/>
  </r>
  <r>
    <s v="ORD1011"/>
    <s v="28-11-2025"/>
    <x v="2"/>
    <s v="Anjali"/>
    <s v="CUST157"/>
    <s v="Female"/>
    <n v="26"/>
    <x v="0"/>
    <s v="Jaipur"/>
    <x v="0"/>
    <s v="Shorts"/>
    <s v="Shorts"/>
    <x v="1"/>
    <s v="S"/>
    <s v="White"/>
    <n v="4"/>
    <n v="357"/>
    <n v="533"/>
    <n v="15"/>
    <n v="1812.2"/>
    <n v="1428"/>
    <n v="384.20000000000005"/>
    <x v="1"/>
    <x v="0"/>
    <s v="Returned"/>
  </r>
  <r>
    <s v="ORD1012"/>
    <s v="31-10-2025"/>
    <x v="0"/>
    <s v="Priya"/>
    <s v="CUST173"/>
    <s v="Male"/>
    <n v="23"/>
    <x v="4"/>
    <s v="Lucknow"/>
    <x v="0"/>
    <s v="Shorts"/>
    <s v="Shorts"/>
    <x v="3"/>
    <s v="XL"/>
    <s v="Green"/>
    <n v="5"/>
    <n v="1292"/>
    <n v="1961"/>
    <n v="5"/>
    <n v="9314.75"/>
    <n v="6460"/>
    <n v="2854.75"/>
    <x v="2"/>
    <x v="0"/>
    <s v="Delivered"/>
  </r>
  <r>
    <s v="ORD1013"/>
    <s v="26-01-2025"/>
    <x v="4"/>
    <s v="Rohit"/>
    <s v="CUST114"/>
    <s v="Male"/>
    <n v="55"/>
    <x v="0"/>
    <s v="Jaipur"/>
    <x v="1"/>
    <s v="Kurti"/>
    <s v="Kurti"/>
    <x v="4"/>
    <s v="XL"/>
    <s v="Blue"/>
    <n v="5"/>
    <n v="806"/>
    <n v="1209"/>
    <n v="5"/>
    <n v="5742.75"/>
    <n v="4030"/>
    <n v="1712.75"/>
    <x v="0"/>
    <x v="1"/>
    <s v="Returned"/>
  </r>
  <r>
    <s v="ORD1014"/>
    <s v="15-10-2025"/>
    <x v="0"/>
    <s v="Pooja"/>
    <s v="CUST144"/>
    <s v="Male"/>
    <n v="18"/>
    <x v="2"/>
    <s v="Delhi"/>
    <x v="2"/>
    <s v="Shirts"/>
    <s v="Shirts"/>
    <x v="2"/>
    <s v="XL"/>
    <s v="Green"/>
    <n v="4"/>
    <n v="1002"/>
    <n v="1530"/>
    <n v="10"/>
    <n v="5508"/>
    <n v="4008"/>
    <n v="1500"/>
    <x v="0"/>
    <x v="0"/>
    <s v="Returned"/>
  </r>
  <r>
    <s v="ORD1015"/>
    <s v="06-01-2025"/>
    <x v="4"/>
    <s v="Amit"/>
    <s v="CUST187"/>
    <s v="Male"/>
    <n v="55"/>
    <x v="2"/>
    <s v="Delhi"/>
    <x v="1"/>
    <s v="Kurti"/>
    <s v="Kurti"/>
    <x v="3"/>
    <s v="S"/>
    <s v="Red"/>
    <n v="5"/>
    <n v="1291"/>
    <n v="1575"/>
    <n v="10"/>
    <n v="7087.5"/>
    <n v="6455"/>
    <n v="632.5"/>
    <x v="1"/>
    <x v="1"/>
    <s v="Delivered"/>
  </r>
  <r>
    <s v="ORD1016"/>
    <s v="30-07-2025"/>
    <x v="7"/>
    <s v="Sneha"/>
    <s v="CUST190"/>
    <s v="Female"/>
    <n v="45"/>
    <x v="3"/>
    <s v="Bengaluru"/>
    <x v="2"/>
    <s v="Jeans"/>
    <s v="Jeans"/>
    <x v="4"/>
    <s v="M"/>
    <s v="Green"/>
    <n v="1"/>
    <n v="760"/>
    <n v="1140"/>
    <n v="20"/>
    <n v="912"/>
    <n v="760"/>
    <n v="152"/>
    <x v="2"/>
    <x v="1"/>
    <s v="Returned"/>
  </r>
  <r>
    <s v="ORD1017"/>
    <s v="20-07-2025"/>
    <x v="7"/>
    <s v="Anjali"/>
    <s v="CUST138"/>
    <s v="Male"/>
    <n v="36"/>
    <x v="2"/>
    <s v="Delhi"/>
    <x v="1"/>
    <s v="Saree"/>
    <s v="Saree"/>
    <x v="2"/>
    <s v="S"/>
    <s v="Black"/>
    <n v="2"/>
    <n v="948"/>
    <n v="1357"/>
    <n v="10"/>
    <n v="2442.6"/>
    <n v="1896"/>
    <n v="546.59999999999991"/>
    <x v="2"/>
    <x v="1"/>
    <s v="Returned"/>
  </r>
  <r>
    <s v="ORD1018"/>
    <s v="02-01-2025"/>
    <x v="4"/>
    <s v="Sneha"/>
    <s v="CUST172"/>
    <s v="Male"/>
    <n v="29"/>
    <x v="0"/>
    <s v="Jaipur"/>
    <x v="0"/>
    <s v="Shorts"/>
    <s v="Shorts"/>
    <x v="3"/>
    <s v="M"/>
    <s v="Green"/>
    <n v="3"/>
    <n v="407"/>
    <n v="666"/>
    <n v="5"/>
    <n v="1898.1"/>
    <n v="1221"/>
    <n v="677.09999999999991"/>
    <x v="0"/>
    <x v="0"/>
    <s v="Cancelled"/>
  </r>
  <r>
    <s v="ORD1019"/>
    <s v="31-03-2025"/>
    <x v="6"/>
    <s v="Rahul"/>
    <s v="CUST109"/>
    <s v="Male"/>
    <n v="46"/>
    <x v="2"/>
    <s v="Delhi"/>
    <x v="2"/>
    <s v="Shirts"/>
    <s v="Shirts"/>
    <x v="0"/>
    <s v="L"/>
    <s v="Black"/>
    <n v="2"/>
    <n v="822"/>
    <n v="1295"/>
    <n v="15"/>
    <n v="2201.5"/>
    <n v="1644"/>
    <n v="557.5"/>
    <x v="1"/>
    <x v="1"/>
    <s v="Returned"/>
  </r>
  <r>
    <s v="ORD1020"/>
    <s v="26-02-2025"/>
    <x v="8"/>
    <s v="Amit"/>
    <s v="CUST110"/>
    <s v="Male"/>
    <n v="19"/>
    <x v="2"/>
    <s v="Delhi"/>
    <x v="0"/>
    <s v="Tshirt"/>
    <s v="Tshirt"/>
    <x v="4"/>
    <s v="XL"/>
    <s v="White"/>
    <n v="3"/>
    <n v="634"/>
    <n v="1426"/>
    <n v="10"/>
    <n v="3850.2000000000003"/>
    <n v="1902"/>
    <n v="1948.2000000000003"/>
    <x v="2"/>
    <x v="1"/>
    <s v="Returned"/>
  </r>
  <r>
    <s v="ORD1021"/>
    <s v="15-06-2025"/>
    <x v="9"/>
    <s v="Anjali"/>
    <s v="CUST113"/>
    <s v="Male"/>
    <n v="30"/>
    <x v="4"/>
    <s v="Lucknow"/>
    <x v="0"/>
    <s v="Tshirt"/>
    <s v="Tshirt"/>
    <x v="1"/>
    <s v="L"/>
    <s v="Blue"/>
    <n v="1"/>
    <n v="1232"/>
    <n v="1497"/>
    <n v="10"/>
    <n v="1347.3"/>
    <n v="1232"/>
    <n v="115.29999999999995"/>
    <x v="1"/>
    <x v="1"/>
    <s v="Delivered"/>
  </r>
  <r>
    <s v="ORD1022"/>
    <s v="08-08-2025"/>
    <x v="1"/>
    <s v="Priya"/>
    <s v="CUST104"/>
    <s v="Male"/>
    <n v="39"/>
    <x v="3"/>
    <s v="Bengaluru"/>
    <x v="0"/>
    <s v="Tshirt"/>
    <s v="Tshirt"/>
    <x v="4"/>
    <s v="L"/>
    <s v="Blue"/>
    <n v="3"/>
    <n v="443"/>
    <n v="1235"/>
    <n v="20"/>
    <n v="2964"/>
    <n v="1329"/>
    <n v="1635"/>
    <x v="1"/>
    <x v="0"/>
    <s v="Returned"/>
  </r>
  <r>
    <s v="ORD1023"/>
    <s v="30-01-2025"/>
    <x v="4"/>
    <s v="Anjali"/>
    <s v="CUST155"/>
    <s v="Female"/>
    <n v="25"/>
    <x v="3"/>
    <s v="Bengaluru"/>
    <x v="0"/>
    <s v="Tshirt"/>
    <s v="Tshirt"/>
    <x v="0"/>
    <s v="XL"/>
    <s v="White"/>
    <n v="1"/>
    <n v="896"/>
    <n v="1367"/>
    <n v="5"/>
    <n v="1298.6499999999999"/>
    <n v="896"/>
    <n v="402.64999999999986"/>
    <x v="2"/>
    <x v="0"/>
    <s v="Returned"/>
  </r>
  <r>
    <s v="ORD1024"/>
    <s v="01-08-2025"/>
    <x v="1"/>
    <s v="Vikas"/>
    <s v="CUST164"/>
    <s v="Female"/>
    <n v="51"/>
    <x v="3"/>
    <s v="Bengaluru"/>
    <x v="1"/>
    <s v="Saree"/>
    <s v="Saree"/>
    <x v="1"/>
    <s v="XL"/>
    <s v="Green"/>
    <n v="1"/>
    <n v="619"/>
    <n v="1137"/>
    <n v="15"/>
    <n v="966.44999999999993"/>
    <n v="619"/>
    <n v="347.44999999999993"/>
    <x v="1"/>
    <x v="0"/>
    <s v="Cancelled"/>
  </r>
  <r>
    <s v="ORD1025"/>
    <s v="07-03-2025"/>
    <x v="6"/>
    <s v="Sneha"/>
    <s v="CUST127"/>
    <s v="Female"/>
    <n v="47"/>
    <x v="3"/>
    <s v="Bengaluru"/>
    <x v="1"/>
    <s v="Saree"/>
    <s v="Saree"/>
    <x v="4"/>
    <s v="M"/>
    <s v="Red"/>
    <n v="1"/>
    <n v="1117"/>
    <n v="1487"/>
    <n v="5"/>
    <n v="1412.6499999999999"/>
    <n v="1117"/>
    <n v="295.64999999999986"/>
    <x v="1"/>
    <x v="0"/>
    <s v="Delivered"/>
  </r>
  <r>
    <s v="ORD1026"/>
    <s v="30-07-2025"/>
    <x v="7"/>
    <s v="Sumit"/>
    <s v="CUST194"/>
    <s v="Female"/>
    <n v="45"/>
    <x v="2"/>
    <s v="Delhi"/>
    <x v="1"/>
    <s v="Kurti"/>
    <s v="Kurti"/>
    <x v="3"/>
    <s v="S"/>
    <s v="White"/>
    <n v="2"/>
    <n v="902"/>
    <n v="1188"/>
    <n v="5"/>
    <n v="2257.1999999999998"/>
    <n v="1804"/>
    <n v="453.19999999999982"/>
    <x v="0"/>
    <x v="1"/>
    <s v="Cancelled"/>
  </r>
  <r>
    <s v="ORD1027"/>
    <s v="13-03-2025"/>
    <x v="6"/>
    <s v="Vikas"/>
    <s v="CUST136"/>
    <s v="Female"/>
    <n v="27"/>
    <x v="3"/>
    <s v="Bengaluru"/>
    <x v="2"/>
    <s v="Shirts"/>
    <s v="Shirts"/>
    <x v="4"/>
    <s v="S"/>
    <s v="Blue"/>
    <n v="3"/>
    <n v="1365"/>
    <n v="1786"/>
    <n v="10"/>
    <n v="4822.2"/>
    <n v="4095"/>
    <n v="727.19999999999982"/>
    <x v="0"/>
    <x v="0"/>
    <s v="Cancelled"/>
  </r>
  <r>
    <s v="ORD1028"/>
    <s v="16-03-2025"/>
    <x v="6"/>
    <s v="Amit"/>
    <s v="CUST159"/>
    <s v="Female"/>
    <n v="33"/>
    <x v="4"/>
    <s v="Lucknow"/>
    <x v="2"/>
    <s v="Jeans"/>
    <s v="Jeans"/>
    <x v="1"/>
    <s v="M"/>
    <s v="Green"/>
    <n v="1"/>
    <n v="1271"/>
    <n v="1784"/>
    <n v="20"/>
    <n v="1427.2"/>
    <n v="1271"/>
    <n v="156.20000000000005"/>
    <x v="0"/>
    <x v="0"/>
    <s v="Cancelled"/>
  </r>
  <r>
    <s v="ORD1029"/>
    <s v="08-01-2025"/>
    <x v="4"/>
    <s v="Sneha"/>
    <s v="CUST118"/>
    <s v="Female"/>
    <n v="18"/>
    <x v="2"/>
    <s v="Delhi"/>
    <x v="2"/>
    <s v="Jeans"/>
    <s v="Jeans"/>
    <x v="2"/>
    <s v="L"/>
    <s v="Black"/>
    <n v="5"/>
    <n v="945"/>
    <n v="1308"/>
    <n v="15"/>
    <n v="5559"/>
    <n v="4725"/>
    <n v="834"/>
    <x v="0"/>
    <x v="0"/>
    <s v="Returned"/>
  </r>
  <r>
    <s v="ORD1030"/>
    <s v="18-09-2025"/>
    <x v="10"/>
    <s v="Rahul"/>
    <s v="CUST110"/>
    <s v="Male"/>
    <n v="24"/>
    <x v="3"/>
    <s v="Bengaluru"/>
    <x v="2"/>
    <s v="Jeans"/>
    <s v="Jeans"/>
    <x v="4"/>
    <s v="M"/>
    <s v="Red"/>
    <n v="3"/>
    <n v="597"/>
    <n v="708"/>
    <n v="20"/>
    <n v="1699.2"/>
    <n v="1791"/>
    <n v="-91.799999999999955"/>
    <x v="2"/>
    <x v="1"/>
    <s v="Returned"/>
  </r>
  <r>
    <s v="ORD1031"/>
    <s v="13-02-2025"/>
    <x v="8"/>
    <s v="Anjali"/>
    <s v="CUST162"/>
    <s v="Male"/>
    <n v="47"/>
    <x v="2"/>
    <s v="Delhi"/>
    <x v="0"/>
    <s v="Tshirt"/>
    <s v="Tshirt"/>
    <x v="3"/>
    <s v="M"/>
    <s v="Red"/>
    <n v="5"/>
    <n v="1473"/>
    <n v="1954"/>
    <n v="20"/>
    <n v="7816"/>
    <n v="7365"/>
    <n v="451"/>
    <x v="1"/>
    <x v="1"/>
    <s v="Returned"/>
  </r>
  <r>
    <s v="ORD1032"/>
    <s v="07-07-2025"/>
    <x v="7"/>
    <s v="Priya"/>
    <s v="CUST137"/>
    <s v="Female"/>
    <n v="52"/>
    <x v="3"/>
    <s v="Bengaluru"/>
    <x v="0"/>
    <s v="Tshirt"/>
    <s v="Tshirt"/>
    <x v="0"/>
    <s v="L"/>
    <s v="White"/>
    <n v="3"/>
    <n v="1298"/>
    <n v="1691"/>
    <n v="0"/>
    <n v="5073"/>
    <n v="3894"/>
    <n v="1179"/>
    <x v="1"/>
    <x v="1"/>
    <s v="Cancelled"/>
  </r>
  <r>
    <s v="ORD1033"/>
    <s v="27-12-2025"/>
    <x v="5"/>
    <s v="Sumit"/>
    <s v="CUST194"/>
    <s v="Male"/>
    <n v="54"/>
    <x v="1"/>
    <s v="Mumbai"/>
    <x v="0"/>
    <s v="Shorts"/>
    <s v="Shorts"/>
    <x v="1"/>
    <s v="L"/>
    <s v="Red"/>
    <n v="5"/>
    <n v="1339"/>
    <n v="1790"/>
    <n v="5"/>
    <n v="8502.5"/>
    <n v="6695"/>
    <n v="1807.5"/>
    <x v="1"/>
    <x v="1"/>
    <s v="Delivered"/>
  </r>
  <r>
    <s v="ORD1034"/>
    <s v="04-07-2025"/>
    <x v="7"/>
    <s v="Sumit"/>
    <s v="CUST127"/>
    <s v="Female"/>
    <n v="24"/>
    <x v="2"/>
    <s v="Delhi"/>
    <x v="0"/>
    <s v="Shorts"/>
    <s v="Shorts"/>
    <x v="3"/>
    <s v="M"/>
    <s v="Black"/>
    <n v="1"/>
    <n v="598"/>
    <n v="706"/>
    <n v="0"/>
    <n v="706"/>
    <n v="598"/>
    <n v="108"/>
    <x v="2"/>
    <x v="1"/>
    <s v="Returned"/>
  </r>
  <r>
    <s v="ORD1035"/>
    <s v="03-03-2025"/>
    <x v="6"/>
    <s v="Sneha"/>
    <s v="CUST117"/>
    <s v="Male"/>
    <n v="42"/>
    <x v="3"/>
    <s v="Bengaluru"/>
    <x v="1"/>
    <s v="Saree"/>
    <s v="Saree"/>
    <x v="1"/>
    <s v="L"/>
    <s v="Black"/>
    <n v="4"/>
    <n v="468"/>
    <n v="1253"/>
    <n v="20"/>
    <n v="4009.6000000000004"/>
    <n v="1872"/>
    <n v="2137.6000000000004"/>
    <x v="0"/>
    <x v="1"/>
    <s v="Delivered"/>
  </r>
  <r>
    <s v="ORD1036"/>
    <s v="12-08-2025"/>
    <x v="1"/>
    <s v="Pooja"/>
    <s v="CUST103"/>
    <s v="Female"/>
    <n v="34"/>
    <x v="3"/>
    <s v="Bengaluru"/>
    <x v="2"/>
    <s v="Shirts"/>
    <s v="Shirts"/>
    <x v="3"/>
    <s v="S"/>
    <s v="Red"/>
    <n v="3"/>
    <n v="595"/>
    <n v="1383"/>
    <n v="10"/>
    <n v="3734.1"/>
    <n v="1785"/>
    <n v="1949.1"/>
    <x v="2"/>
    <x v="0"/>
    <s v="Delivered"/>
  </r>
  <r>
    <s v="ORD1037"/>
    <s v="25-03-2025"/>
    <x v="6"/>
    <s v="Anjali"/>
    <s v="CUST138"/>
    <s v="Female"/>
    <n v="30"/>
    <x v="0"/>
    <s v="Jaipur"/>
    <x v="2"/>
    <s v="Shirts"/>
    <s v="Shirts"/>
    <x v="4"/>
    <s v="XL"/>
    <s v="Red"/>
    <n v="3"/>
    <n v="458"/>
    <n v="1189"/>
    <n v="20"/>
    <n v="2853.6000000000004"/>
    <n v="1374"/>
    <n v="1479.6000000000004"/>
    <x v="2"/>
    <x v="1"/>
    <s v="Cancelled"/>
  </r>
  <r>
    <s v="ORD1038"/>
    <s v="14-02-2025"/>
    <x v="8"/>
    <s v="Rohit  "/>
    <s v="CUST148"/>
    <s v="Male"/>
    <n v="32"/>
    <x v="4"/>
    <s v="Lucknow"/>
    <x v="0"/>
    <s v="Shorts"/>
    <s v="Shorts"/>
    <x v="0"/>
    <s v="M"/>
    <s v="Green"/>
    <n v="5"/>
    <n v="984"/>
    <n v="1548"/>
    <n v="20"/>
    <n v="6192"/>
    <n v="4920"/>
    <n v="1272"/>
    <x v="1"/>
    <x v="1"/>
    <s v="Delivered"/>
  </r>
  <r>
    <s v="ORD1039"/>
    <s v="05-05-2025"/>
    <x v="3"/>
    <s v="Vikas"/>
    <s v="CUST167"/>
    <s v="Female"/>
    <n v="19"/>
    <x v="3"/>
    <s v="Bengaluru"/>
    <x v="1"/>
    <s v="Kurti"/>
    <s v="Kurti"/>
    <x v="2"/>
    <s v="S"/>
    <s v="Green"/>
    <n v="4"/>
    <n v="741"/>
    <n v="1271"/>
    <n v="20"/>
    <n v="4067.2000000000003"/>
    <n v="2964"/>
    <n v="1103.2000000000003"/>
    <x v="0"/>
    <x v="0"/>
    <s v="Delivered"/>
  </r>
  <r>
    <s v="ORD1040"/>
    <s v="14-09-2025"/>
    <x v="10"/>
    <s v="Rohit"/>
    <s v="CUST140"/>
    <s v="Male"/>
    <n v="24"/>
    <x v="0"/>
    <s v="Jaipur"/>
    <x v="0"/>
    <s v="Shorts"/>
    <s v="Shorts"/>
    <x v="4"/>
    <s v="L"/>
    <s v="Red"/>
    <n v="2"/>
    <n v="346"/>
    <n v="1057"/>
    <n v="15"/>
    <n v="1796.8999999999999"/>
    <n v="692"/>
    <n v="1104.8999999999999"/>
    <x v="2"/>
    <x v="0"/>
    <s v="Delivered"/>
  </r>
  <r>
    <s v="ORD1041"/>
    <s v="26-05-2025"/>
    <x v="3"/>
    <s v="Rahul"/>
    <s v="CUST154"/>
    <s v="Female"/>
    <n v="32"/>
    <x v="0"/>
    <s v="Jaipur"/>
    <x v="0"/>
    <s v="Tshirt"/>
    <s v="Tshirt"/>
    <x v="3"/>
    <s v="S"/>
    <s v="Black"/>
    <n v="3"/>
    <n v="493"/>
    <n v="1048"/>
    <n v="10"/>
    <n v="2829.6"/>
    <n v="1479"/>
    <n v="1350.6"/>
    <x v="1"/>
    <x v="0"/>
    <s v="Returned"/>
  </r>
  <r>
    <s v="ORD1042"/>
    <s v="19-12-2025"/>
    <x v="5"/>
    <s v="Sneha"/>
    <s v="CUST195"/>
    <s v="Male"/>
    <n v="38"/>
    <x v="4"/>
    <s v="Lucknow"/>
    <x v="1"/>
    <s v="Saree"/>
    <s v="Saree"/>
    <x v="3"/>
    <s v="L"/>
    <s v="Red"/>
    <n v="3"/>
    <n v="1307"/>
    <n v="1854"/>
    <n v="15"/>
    <n v="4727.7"/>
    <n v="3921"/>
    <n v="806.69999999999982"/>
    <x v="1"/>
    <x v="0"/>
    <s v="Returned"/>
  </r>
  <r>
    <s v="ORD1043"/>
    <s v="09-10-2025"/>
    <x v="0"/>
    <s v="Sumit"/>
    <s v="CUST150"/>
    <s v="Female"/>
    <n v="22"/>
    <x v="2"/>
    <s v="Delhi"/>
    <x v="1"/>
    <s v="Saree"/>
    <s v="Saree"/>
    <x v="3"/>
    <s v="XL"/>
    <s v="Blue"/>
    <n v="4"/>
    <n v="763"/>
    <n v="1552"/>
    <n v="5"/>
    <n v="5897.5999999999995"/>
    <n v="3052"/>
    <n v="2845.5999999999995"/>
    <x v="0"/>
    <x v="1"/>
    <s v="Delivered"/>
  </r>
  <r>
    <s v="ORD1044"/>
    <s v="03-08-2025"/>
    <x v="1"/>
    <s v="Sumit"/>
    <s v="CUST177"/>
    <s v="Female"/>
    <n v="31"/>
    <x v="3"/>
    <s v="Bengaluru"/>
    <x v="0"/>
    <s v="Shorts"/>
    <s v="Shorts"/>
    <x v="2"/>
    <s v="L"/>
    <s v="White"/>
    <n v="2"/>
    <n v="342"/>
    <n v="641"/>
    <n v="20"/>
    <n v="1025.6000000000001"/>
    <n v="684"/>
    <n v="341.60000000000014"/>
    <x v="2"/>
    <x v="1"/>
    <s v="Delivered"/>
  </r>
  <r>
    <s v="ORD1045"/>
    <s v="19-11-2025"/>
    <x v="2"/>
    <s v="Vikas"/>
    <s v="CUST170"/>
    <s v="Female"/>
    <n v="48"/>
    <x v="3"/>
    <s v="Bengaluru"/>
    <x v="0"/>
    <s v="Tshirt"/>
    <s v="Tshirt"/>
    <x v="1"/>
    <s v="XL"/>
    <s v="Green"/>
    <n v="5"/>
    <n v="592"/>
    <n v="757"/>
    <n v="15"/>
    <n v="3217.25"/>
    <n v="2960"/>
    <n v="257.25"/>
    <x v="0"/>
    <x v="0"/>
    <s v="Returned"/>
  </r>
  <r>
    <s v="ORD1046"/>
    <s v="08-03-2025"/>
    <x v="6"/>
    <s v="Neha"/>
    <s v="CUST194"/>
    <s v="Female"/>
    <n v="42"/>
    <x v="0"/>
    <s v="Jaipur"/>
    <x v="0"/>
    <s v="Tshirt"/>
    <s v="Tshirt"/>
    <x v="2"/>
    <s v="M"/>
    <s v="Black"/>
    <n v="3"/>
    <n v="751"/>
    <n v="1444"/>
    <n v="15"/>
    <n v="3682.2"/>
    <n v="2253"/>
    <n v="1429.1999999999998"/>
    <x v="0"/>
    <x v="0"/>
    <s v="Cancelled"/>
  </r>
  <r>
    <s v="ORD1047"/>
    <s v="01-08-2025"/>
    <x v="1"/>
    <s v="Vikas"/>
    <s v="CUST124"/>
    <s v="Male"/>
    <n v="39"/>
    <x v="0"/>
    <s v="Jaipur"/>
    <x v="0"/>
    <s v="Tshirt"/>
    <s v="Tshirt"/>
    <x v="1"/>
    <s v="S"/>
    <s v="Blue"/>
    <n v="2"/>
    <n v="1018"/>
    <n v="1717"/>
    <n v="10"/>
    <n v="3090.6"/>
    <n v="2036"/>
    <n v="1054.5999999999999"/>
    <x v="1"/>
    <x v="1"/>
    <s v="Returned"/>
  </r>
  <r>
    <s v="ORD1048"/>
    <s v="11-07-2025"/>
    <x v="7"/>
    <s v="Sumit"/>
    <s v="CUST104"/>
    <s v="Female"/>
    <n v="48"/>
    <x v="4"/>
    <s v="Lucknow"/>
    <x v="1"/>
    <s v="Kurti"/>
    <s v="Kurti"/>
    <x v="4"/>
    <s v="L"/>
    <s v="White"/>
    <n v="5"/>
    <n v="639"/>
    <n v="1094"/>
    <n v="10"/>
    <n v="4923"/>
    <n v="3195"/>
    <n v="1728"/>
    <x v="0"/>
    <x v="0"/>
    <s v="Cancelled"/>
  </r>
  <r>
    <s v="ORD1049"/>
    <s v="10-03-2025"/>
    <x v="6"/>
    <s v="Neha"/>
    <s v="CUST153"/>
    <s v="Male"/>
    <n v="50"/>
    <x v="2"/>
    <s v="Delhi"/>
    <x v="1"/>
    <s v="Saree"/>
    <s v="Saree"/>
    <x v="0"/>
    <s v="S"/>
    <s v="Red"/>
    <n v="3"/>
    <n v="1378"/>
    <n v="1504"/>
    <n v="15"/>
    <n v="3835.2"/>
    <n v="4134"/>
    <n v="-298.80000000000018"/>
    <x v="1"/>
    <x v="1"/>
    <s v="Cancelled"/>
  </r>
  <r>
    <s v="ORD1050"/>
    <s v="02-03-2025"/>
    <x v="6"/>
    <s v="Rahul"/>
    <s v="CUST179"/>
    <s v="Female"/>
    <n v="30"/>
    <x v="3"/>
    <s v="Bengaluru"/>
    <x v="2"/>
    <s v="Shirts"/>
    <s v="Shirts"/>
    <x v="3"/>
    <s v="S"/>
    <s v="White"/>
    <n v="5"/>
    <n v="966"/>
    <n v="1069"/>
    <n v="5"/>
    <n v="5077.75"/>
    <n v="4830"/>
    <n v="247.75"/>
    <x v="0"/>
    <x v="0"/>
    <s v="Delivered"/>
  </r>
  <r>
    <s v="ORD1051"/>
    <s v="29-12-2025"/>
    <x v="5"/>
    <s v="Sumit"/>
    <s v="CUST159"/>
    <s v="Female"/>
    <n v="53"/>
    <x v="1"/>
    <s v="Mumbai"/>
    <x v="2"/>
    <s v="Shirts"/>
    <s v="Shirts"/>
    <x v="4"/>
    <s v="S"/>
    <s v="White"/>
    <n v="2"/>
    <n v="1217"/>
    <n v="1718"/>
    <n v="5"/>
    <n v="3264.2"/>
    <n v="2434"/>
    <n v="830.19999999999982"/>
    <x v="2"/>
    <x v="0"/>
    <s v="Returned"/>
  </r>
  <r>
    <s v="ORD1052"/>
    <s v="30-08-2025"/>
    <x v="1"/>
    <s v="Sumit"/>
    <s v="CUST152"/>
    <s v="Male"/>
    <n v="43"/>
    <x v="1"/>
    <s v="Mumbai"/>
    <x v="2"/>
    <s v="Jeans"/>
    <s v="Jeans"/>
    <x v="1"/>
    <s v="M"/>
    <s v="Red"/>
    <n v="5"/>
    <n v="955"/>
    <n v="1171"/>
    <n v="15"/>
    <n v="4976.75"/>
    <n v="4775"/>
    <n v="201.75"/>
    <x v="0"/>
    <x v="1"/>
    <s v="Cancelled"/>
  </r>
  <r>
    <s v="ORD1053"/>
    <s v="24-08-2025"/>
    <x v="1"/>
    <s v="Amit"/>
    <s v="CUST125"/>
    <s v="Female"/>
    <n v="48"/>
    <x v="2"/>
    <s v="Delhi"/>
    <x v="0"/>
    <s v="Tshirt"/>
    <s v="Tshirt"/>
    <x v="2"/>
    <s v="L"/>
    <s v="Red"/>
    <n v="1"/>
    <n v="1163"/>
    <n v="1580"/>
    <n v="0"/>
    <n v="1580"/>
    <n v="1163"/>
    <n v="417"/>
    <x v="0"/>
    <x v="0"/>
    <s v="Returned"/>
  </r>
  <r>
    <s v="ORD1054"/>
    <s v="16-04-2025"/>
    <x v="11"/>
    <s v="Anjali"/>
    <s v="CUST161"/>
    <s v="Female"/>
    <n v="52"/>
    <x v="1"/>
    <s v="Mumbai"/>
    <x v="2"/>
    <s v="Jeans"/>
    <s v="Jeans"/>
    <x v="1"/>
    <s v="M"/>
    <s v="Black"/>
    <n v="4"/>
    <n v="710"/>
    <n v="931"/>
    <n v="5"/>
    <n v="3537.7999999999997"/>
    <n v="2840"/>
    <n v="697.79999999999973"/>
    <x v="2"/>
    <x v="0"/>
    <s v="Cancelled"/>
  </r>
  <r>
    <s v="ORD1055"/>
    <s v="07-05-2025"/>
    <x v="3"/>
    <s v="Amit"/>
    <s v="CUST172"/>
    <s v="Male"/>
    <n v="33"/>
    <x v="0"/>
    <s v="Jaipur"/>
    <x v="1"/>
    <s v="Saree"/>
    <s v="Saree"/>
    <x v="1"/>
    <s v="S"/>
    <s v="Green"/>
    <n v="2"/>
    <n v="511"/>
    <n v="913"/>
    <n v="15"/>
    <n v="1552.1"/>
    <n v="1022"/>
    <n v="530.09999999999991"/>
    <x v="0"/>
    <x v="0"/>
    <s v="Cancelled"/>
  </r>
  <r>
    <s v="ORD1056"/>
    <s v="22-06-2025"/>
    <x v="9"/>
    <s v="Sumit"/>
    <s v="CUST145"/>
    <s v="Male"/>
    <n v="38"/>
    <x v="2"/>
    <s v="Delhi"/>
    <x v="0"/>
    <s v="Shorts"/>
    <s v="Shorts"/>
    <x v="3"/>
    <s v="L"/>
    <s v="Blue"/>
    <n v="5"/>
    <n v="464"/>
    <n v="787"/>
    <n v="5"/>
    <n v="3738.25"/>
    <n v="2320"/>
    <n v="1418.25"/>
    <x v="0"/>
    <x v="0"/>
    <s v="Delivered"/>
  </r>
  <r>
    <s v="ORD1057"/>
    <s v="02-11-2025"/>
    <x v="2"/>
    <s v="Priya"/>
    <s v="CUST157"/>
    <s v="Male"/>
    <n v="20"/>
    <x v="2"/>
    <s v="Delhi"/>
    <x v="0"/>
    <s v="Tshirt"/>
    <s v="Tshirt"/>
    <x v="1"/>
    <s v="S"/>
    <s v="Blue"/>
    <n v="1"/>
    <n v="1126"/>
    <n v="1671"/>
    <n v="20"/>
    <n v="1336.8000000000002"/>
    <n v="1126"/>
    <n v="210.80000000000018"/>
    <x v="2"/>
    <x v="0"/>
    <s v="Cancelled"/>
  </r>
  <r>
    <s v="ORD1058"/>
    <s v="31-12-2025"/>
    <x v="5"/>
    <s v="Amit"/>
    <s v="CUST163"/>
    <s v="Female"/>
    <n v="26"/>
    <x v="0"/>
    <s v="Jaipur"/>
    <x v="2"/>
    <s v="Jeans"/>
    <s v="Jeans"/>
    <x v="0"/>
    <s v="XL"/>
    <s v="Black"/>
    <n v="4"/>
    <n v="1391"/>
    <n v="1941"/>
    <n v="15"/>
    <n v="6599.4"/>
    <n v="5564"/>
    <n v="1035.3999999999996"/>
    <x v="1"/>
    <x v="0"/>
    <s v="Cancelled"/>
  </r>
  <r>
    <s v="ORD1059"/>
    <s v="30-11-2025"/>
    <x v="2"/>
    <s v="Rohit"/>
    <s v="CUST155"/>
    <s v="Female"/>
    <n v="38"/>
    <x v="3"/>
    <s v="Bengaluru"/>
    <x v="2"/>
    <s v="Jeans"/>
    <s v="Jeans"/>
    <x v="1"/>
    <s v="XL"/>
    <s v="White"/>
    <n v="2"/>
    <n v="1414"/>
    <n v="2149"/>
    <n v="15"/>
    <n v="3653.2999999999997"/>
    <n v="2828"/>
    <n v="825.29999999999973"/>
    <x v="1"/>
    <x v="0"/>
    <s v="Delivered"/>
  </r>
  <r>
    <s v="ORD1060"/>
    <s v="05-08-2025"/>
    <x v="1"/>
    <s v="Rohit"/>
    <s v="CUST187"/>
    <s v="Female"/>
    <n v="27"/>
    <x v="0"/>
    <s v="Jaipur"/>
    <x v="1"/>
    <s v="Kurti"/>
    <s v="Kurti"/>
    <x v="0"/>
    <s v="XL"/>
    <s v="Black"/>
    <n v="5"/>
    <n v="1064"/>
    <n v="1482"/>
    <n v="15"/>
    <n v="6298.5"/>
    <n v="5320"/>
    <n v="978.5"/>
    <x v="1"/>
    <x v="0"/>
    <s v="Delivered"/>
  </r>
  <r>
    <s v="ORD1061"/>
    <s v="18-12-2025"/>
    <x v="5"/>
    <s v="Vikas"/>
    <s v="CUST184"/>
    <s v="Male"/>
    <n v="46"/>
    <x v="4"/>
    <s v="Lucknow"/>
    <x v="0"/>
    <s v="Shorts"/>
    <s v="Shorts"/>
    <x v="3"/>
    <s v="S"/>
    <s v="White"/>
    <n v="1"/>
    <n v="531"/>
    <n v="1150"/>
    <n v="10"/>
    <n v="1035"/>
    <n v="531"/>
    <n v="504"/>
    <x v="0"/>
    <x v="0"/>
    <s v="Returned"/>
  </r>
  <r>
    <s v="ORD1062"/>
    <s v="26-08-2025"/>
    <x v="1"/>
    <s v="Pooja"/>
    <s v="CUST143"/>
    <s v="Female"/>
    <n v="29"/>
    <x v="3"/>
    <s v="Bengaluru"/>
    <x v="2"/>
    <s v="Jeans"/>
    <s v="Jeans"/>
    <x v="3"/>
    <s v="L"/>
    <s v="White"/>
    <n v="4"/>
    <n v="473"/>
    <n v="1238"/>
    <n v="20"/>
    <n v="3961.6000000000004"/>
    <n v="1892"/>
    <n v="2069.6000000000004"/>
    <x v="2"/>
    <x v="1"/>
    <s v="Returned"/>
  </r>
  <r>
    <s v="ORD1063"/>
    <s v="14-07-2025"/>
    <x v="7"/>
    <s v="Anjali"/>
    <s v="CUST135"/>
    <s v="Male"/>
    <n v="31"/>
    <x v="3"/>
    <s v="Bengaluru"/>
    <x v="2"/>
    <s v="Shirts"/>
    <s v="Shirts"/>
    <x v="0"/>
    <s v="XL"/>
    <s v="White"/>
    <n v="3"/>
    <n v="1138"/>
    <n v="1389"/>
    <n v="20"/>
    <n v="3333.6000000000004"/>
    <n v="3414"/>
    <n v="-80.399999999999636"/>
    <x v="2"/>
    <x v="0"/>
    <s v="Returned"/>
  </r>
  <r>
    <s v="ORD1064"/>
    <s v="27-09-2025"/>
    <x v="10"/>
    <s v="Vikas"/>
    <s v="CUST139"/>
    <s v="Female"/>
    <n v="20"/>
    <x v="2"/>
    <s v="Delhi"/>
    <x v="2"/>
    <s v="Jeans"/>
    <s v="Jeans"/>
    <x v="0"/>
    <s v="XL"/>
    <s v="Black"/>
    <n v="4"/>
    <n v="428"/>
    <n v="1193"/>
    <n v="20"/>
    <n v="3817.6000000000004"/>
    <n v="1712"/>
    <n v="2105.6000000000004"/>
    <x v="0"/>
    <x v="0"/>
    <s v="Returned"/>
  </r>
  <r>
    <s v="ORD1065"/>
    <s v="20-10-2025"/>
    <x v="0"/>
    <s v="Anjali"/>
    <s v="CUST182"/>
    <s v="Female"/>
    <n v="41"/>
    <x v="1"/>
    <s v="Mumbai"/>
    <x v="0"/>
    <s v="Tshirt"/>
    <s v="Tshirt"/>
    <x v="2"/>
    <s v="L"/>
    <s v="Blue"/>
    <n v="2"/>
    <n v="944"/>
    <n v="1257"/>
    <n v="5"/>
    <n v="2388.2999999999997"/>
    <n v="1888"/>
    <n v="500.29999999999973"/>
    <x v="0"/>
    <x v="1"/>
    <s v="Cancelled"/>
  </r>
  <r>
    <s v="ORD1066"/>
    <s v="14-01-2025"/>
    <x v="4"/>
    <s v="Neha"/>
    <s v="CUST150"/>
    <s v="Male"/>
    <n v="47"/>
    <x v="4"/>
    <s v="Lucknow"/>
    <x v="2"/>
    <s v="Shirts"/>
    <s v="Shirts"/>
    <x v="1"/>
    <s v="XL"/>
    <s v="Blue"/>
    <n v="3"/>
    <n v="1361"/>
    <n v="1960"/>
    <n v="10"/>
    <n v="5292"/>
    <n v="4083"/>
    <n v="1209"/>
    <x v="0"/>
    <x v="1"/>
    <s v="Cancelled"/>
  </r>
  <r>
    <s v="ORD1067"/>
    <s v="19-10-2025"/>
    <x v="0"/>
    <s v="Sumit"/>
    <s v="CUST148"/>
    <s v="Female"/>
    <n v="41"/>
    <x v="3"/>
    <s v="Bengaluru"/>
    <x v="0"/>
    <s v="Shorts"/>
    <s v="Shorts"/>
    <x v="3"/>
    <s v="M"/>
    <s v="Black"/>
    <n v="3"/>
    <n v="654"/>
    <n v="800"/>
    <n v="15"/>
    <n v="2040"/>
    <n v="1962"/>
    <n v="78"/>
    <x v="2"/>
    <x v="0"/>
    <s v="Returned"/>
  </r>
  <r>
    <s v="ORD1068"/>
    <s v="16-07-2025"/>
    <x v="7"/>
    <s v="Anjali"/>
    <s v="CUST179"/>
    <s v="Male"/>
    <n v="32"/>
    <x v="4"/>
    <s v="Lucknow"/>
    <x v="0"/>
    <s v="Shorts"/>
    <s v="Shorts"/>
    <x v="2"/>
    <s v="S"/>
    <s v="Blue"/>
    <n v="4"/>
    <n v="303"/>
    <n v="1058"/>
    <n v="5"/>
    <n v="4020.3999999999996"/>
    <n v="1212"/>
    <n v="2808.3999999999996"/>
    <x v="0"/>
    <x v="1"/>
    <s v="Returned"/>
  </r>
  <r>
    <s v="ORD1069"/>
    <s v="09-11-2025"/>
    <x v="2"/>
    <s v="Rahul"/>
    <s v="CUST161"/>
    <s v="Female"/>
    <n v="34"/>
    <x v="2"/>
    <s v="Delhi"/>
    <x v="0"/>
    <s v="Shorts"/>
    <s v="Shorts"/>
    <x v="3"/>
    <s v="S"/>
    <s v="Black"/>
    <n v="3"/>
    <n v="354"/>
    <n v="862"/>
    <n v="10"/>
    <n v="2327.4"/>
    <n v="1062"/>
    <n v="1265.4000000000001"/>
    <x v="1"/>
    <x v="0"/>
    <s v="Returned"/>
  </r>
  <r>
    <s v="ORD1070"/>
    <s v="17-04-2025"/>
    <x v="11"/>
    <s v="Anjali"/>
    <s v="CUST159"/>
    <s v="Female"/>
    <n v="45"/>
    <x v="2"/>
    <s v="Delhi"/>
    <x v="2"/>
    <s v="Shirts"/>
    <s v="Shirts"/>
    <x v="1"/>
    <s v="M"/>
    <s v="Red"/>
    <n v="4"/>
    <n v="1006"/>
    <n v="1598"/>
    <n v="15"/>
    <n v="5433.2"/>
    <n v="4024"/>
    <n v="1409.1999999999998"/>
    <x v="2"/>
    <x v="1"/>
    <s v="Delivered"/>
  </r>
  <r>
    <s v="ORD1071"/>
    <s v="16-05-2025"/>
    <x v="3"/>
    <s v="Pooja"/>
    <s v="CUST158"/>
    <s v="Female"/>
    <n v="30"/>
    <x v="0"/>
    <s v="Jaipur"/>
    <x v="0"/>
    <s v="Shorts"/>
    <s v="Shorts"/>
    <x v="2"/>
    <s v="L"/>
    <s v="Green"/>
    <n v="5"/>
    <n v="910"/>
    <n v="1255"/>
    <n v="20"/>
    <n v="5020"/>
    <n v="4550"/>
    <n v="470"/>
    <x v="0"/>
    <x v="0"/>
    <s v="Cancelled"/>
  </r>
  <r>
    <s v="ORD1072"/>
    <s v="13-04-2025"/>
    <x v="11"/>
    <s v="Sumit"/>
    <s v="CUST171"/>
    <s v="Female"/>
    <n v="21"/>
    <x v="0"/>
    <s v="Jaipur"/>
    <x v="1"/>
    <s v="Kurti"/>
    <s v="Kurti"/>
    <x v="3"/>
    <s v="L"/>
    <s v="Green"/>
    <n v="1"/>
    <n v="1076"/>
    <n v="1200"/>
    <n v="10"/>
    <n v="1080"/>
    <n v="1076"/>
    <n v="4"/>
    <x v="1"/>
    <x v="1"/>
    <s v="Cancelled"/>
  </r>
  <r>
    <s v="ORD1073"/>
    <s v="10-08-2025"/>
    <x v="1"/>
    <s v="Anjali"/>
    <s v="CUST120"/>
    <s v="Male"/>
    <n v="33"/>
    <x v="0"/>
    <s v="Jaipur"/>
    <x v="1"/>
    <s v="Kurti"/>
    <s v="Kurti"/>
    <x v="0"/>
    <s v="L"/>
    <s v="Blue"/>
    <n v="2"/>
    <n v="1361"/>
    <n v="1988"/>
    <n v="20"/>
    <n v="3180.8"/>
    <n v="2722"/>
    <n v="458.80000000000018"/>
    <x v="1"/>
    <x v="0"/>
    <s v="Returned"/>
  </r>
  <r>
    <s v="ORD1074"/>
    <s v="10-10-2025"/>
    <x v="0"/>
    <s v="Rahul"/>
    <s v="CUST128"/>
    <s v="Male"/>
    <n v="30"/>
    <x v="3"/>
    <s v="Bengaluru"/>
    <x v="0"/>
    <s v="Shorts"/>
    <s v="Shorts"/>
    <x v="3"/>
    <s v="S"/>
    <s v="White"/>
    <n v="4"/>
    <n v="1312"/>
    <n v="1652"/>
    <n v="0"/>
    <n v="6608"/>
    <n v="5248"/>
    <n v="1360"/>
    <x v="2"/>
    <x v="1"/>
    <s v="Delivered"/>
  </r>
  <r>
    <s v="ORD1075"/>
    <s v="11-10-2025"/>
    <x v="0"/>
    <s v="Rahul  "/>
    <s v="CUST129"/>
    <s v="Male"/>
    <n v="38"/>
    <x v="3"/>
    <s v="Bengaluru"/>
    <x v="0"/>
    <s v="Tshirt"/>
    <s v="Tshirt"/>
    <x v="1"/>
    <s v="XL"/>
    <s v="Blue"/>
    <n v="1"/>
    <n v="461"/>
    <n v="1066"/>
    <n v="5"/>
    <n v="1012.6999999999999"/>
    <n v="461"/>
    <n v="551.69999999999993"/>
    <x v="2"/>
    <x v="1"/>
    <s v="Cancelled"/>
  </r>
  <r>
    <s v="ORD1076"/>
    <s v="05-02-2025"/>
    <x v="8"/>
    <s v="Rahul"/>
    <s v="CUST196"/>
    <s v="Female"/>
    <n v="24"/>
    <x v="1"/>
    <s v="Mumbai"/>
    <x v="0"/>
    <s v="Tshirt"/>
    <s v="Tshirt"/>
    <x v="3"/>
    <s v="S"/>
    <s v="White"/>
    <n v="1"/>
    <n v="926"/>
    <n v="1459"/>
    <n v="5"/>
    <n v="1386.05"/>
    <n v="926"/>
    <n v="460.04999999999995"/>
    <x v="0"/>
    <x v="1"/>
    <s v="Cancelled"/>
  </r>
  <r>
    <s v="ORD1077"/>
    <s v="05-01-2025"/>
    <x v="4"/>
    <s v="Rahul"/>
    <s v="CUST167"/>
    <s v="Male"/>
    <n v="53"/>
    <x v="1"/>
    <s v="Mumbai"/>
    <x v="1"/>
    <s v="Saree"/>
    <s v="Saree"/>
    <x v="1"/>
    <s v="XL"/>
    <s v="Green"/>
    <n v="5"/>
    <n v="500"/>
    <n v="845"/>
    <n v="10"/>
    <n v="3802.5"/>
    <n v="2500"/>
    <n v="1302.5"/>
    <x v="1"/>
    <x v="1"/>
    <s v="Returned"/>
  </r>
  <r>
    <s v="ORD1078"/>
    <s v="25-08-2025"/>
    <x v="1"/>
    <s v="Pooja"/>
    <s v="CUST122"/>
    <s v="Female"/>
    <n v="47"/>
    <x v="1"/>
    <s v="Mumbai"/>
    <x v="1"/>
    <s v="Saree"/>
    <s v="Saree"/>
    <x v="1"/>
    <s v="S"/>
    <s v="White"/>
    <n v="1"/>
    <n v="755"/>
    <n v="869"/>
    <n v="20"/>
    <n v="695.2"/>
    <n v="755"/>
    <n v="-59.799999999999955"/>
    <x v="0"/>
    <x v="1"/>
    <s v="Delivered"/>
  </r>
  <r>
    <s v="ORD1079"/>
    <s v="25-10-2025"/>
    <x v="0"/>
    <s v="Vikas"/>
    <s v="CUST180"/>
    <s v="Male"/>
    <n v="40"/>
    <x v="1"/>
    <s v="Mumbai"/>
    <x v="2"/>
    <s v="Jeans"/>
    <s v="Jeans"/>
    <x v="1"/>
    <s v="L"/>
    <s v="White"/>
    <n v="4"/>
    <n v="978"/>
    <n v="1213"/>
    <n v="10"/>
    <n v="4366.8"/>
    <n v="3912"/>
    <n v="454.80000000000018"/>
    <x v="0"/>
    <x v="1"/>
    <s v="Cancelled"/>
  </r>
  <r>
    <s v="ORD1080"/>
    <s v="07-05-2025"/>
    <x v="3"/>
    <s v="Neha"/>
    <s v="CUST146"/>
    <s v="Female"/>
    <n v="23"/>
    <x v="1"/>
    <s v="Mumbai"/>
    <x v="2"/>
    <s v="Shirts"/>
    <s v="Shirts"/>
    <x v="3"/>
    <s v="S"/>
    <s v="Black"/>
    <n v="4"/>
    <n v="305"/>
    <n v="489"/>
    <n v="15"/>
    <n v="1662.6"/>
    <n v="1220"/>
    <n v="442.59999999999991"/>
    <x v="2"/>
    <x v="0"/>
    <s v="Delivered"/>
  </r>
  <r>
    <s v="ORD1081"/>
    <s v="07-06-2025"/>
    <x v="9"/>
    <s v="Sumit"/>
    <s v="CUST171"/>
    <s v="Female"/>
    <n v="53"/>
    <x v="1"/>
    <s v="Mumbai"/>
    <x v="1"/>
    <s v="Kurti"/>
    <s v="Kurti"/>
    <x v="0"/>
    <s v="L"/>
    <s v="Blue"/>
    <n v="3"/>
    <n v="585"/>
    <n v="779"/>
    <n v="15"/>
    <n v="1986.45"/>
    <n v="1755"/>
    <n v="231.45000000000005"/>
    <x v="2"/>
    <x v="1"/>
    <s v="Delivered"/>
  </r>
  <r>
    <s v="ORD1082"/>
    <s v="13-06-2025"/>
    <x v="9"/>
    <s v="Rahul"/>
    <s v="CUST125"/>
    <s v="Female"/>
    <n v="53"/>
    <x v="4"/>
    <s v="Lucknow"/>
    <x v="0"/>
    <s v="Shorts"/>
    <s v="Shorts"/>
    <x v="3"/>
    <s v="M"/>
    <s v="Blue"/>
    <n v="5"/>
    <n v="846"/>
    <n v="1232"/>
    <n v="15"/>
    <n v="5236"/>
    <n v="4230"/>
    <n v="1006"/>
    <x v="1"/>
    <x v="1"/>
    <s v="Delivered"/>
  </r>
  <r>
    <s v="ORD1083"/>
    <s v="30-01-2025"/>
    <x v="4"/>
    <s v="Rohit"/>
    <s v="CUST157"/>
    <s v="Male"/>
    <n v="50"/>
    <x v="1"/>
    <s v="Mumbai"/>
    <x v="0"/>
    <s v="Tshirt"/>
    <s v="Tshirt"/>
    <x v="4"/>
    <s v="L"/>
    <s v="Green"/>
    <n v="1"/>
    <n v="572"/>
    <n v="979"/>
    <n v="15"/>
    <n v="832.15"/>
    <n v="572"/>
    <n v="260.14999999999998"/>
    <x v="1"/>
    <x v="1"/>
    <s v="Delivered"/>
  </r>
  <r>
    <s v="ORD1084"/>
    <s v="20-10-2025"/>
    <x v="0"/>
    <s v="Rohit"/>
    <s v="CUST183"/>
    <s v="Female"/>
    <n v="27"/>
    <x v="0"/>
    <s v="Jaipur"/>
    <x v="2"/>
    <s v="Shirts"/>
    <s v="Shirts"/>
    <x v="3"/>
    <s v="S"/>
    <s v="Green"/>
    <n v="3"/>
    <n v="506"/>
    <n v="707"/>
    <n v="5"/>
    <n v="2014.9499999999998"/>
    <n v="1518"/>
    <n v="496.94999999999982"/>
    <x v="0"/>
    <x v="1"/>
    <s v="Returned"/>
  </r>
  <r>
    <s v="ORD1085"/>
    <s v="25-08-2025"/>
    <x v="1"/>
    <s v="Priya"/>
    <s v="CUST130"/>
    <s v="Male"/>
    <n v="35"/>
    <x v="1"/>
    <s v="Mumbai"/>
    <x v="1"/>
    <s v="Saree"/>
    <s v="Saree"/>
    <x v="4"/>
    <s v="S"/>
    <s v="Black"/>
    <n v="1"/>
    <n v="1152"/>
    <n v="1344"/>
    <n v="10"/>
    <n v="1209.6000000000001"/>
    <n v="1152"/>
    <n v="57.600000000000136"/>
    <x v="0"/>
    <x v="0"/>
    <s v="Cancelled"/>
  </r>
  <r>
    <s v="ORD1086"/>
    <s v="25-07-2025"/>
    <x v="7"/>
    <s v="Pooja"/>
    <s v="CUST197"/>
    <s v="Male"/>
    <n v="19"/>
    <x v="1"/>
    <s v="Mumbai"/>
    <x v="1"/>
    <s v="Saree"/>
    <s v="Saree"/>
    <x v="1"/>
    <s v="L"/>
    <s v="Black"/>
    <n v="5"/>
    <n v="998"/>
    <n v="1512"/>
    <n v="20"/>
    <n v="6048"/>
    <n v="4990"/>
    <n v="1058"/>
    <x v="2"/>
    <x v="1"/>
    <s v="Returned"/>
  </r>
  <r>
    <s v="ORD1087"/>
    <s v="04-09-2025"/>
    <x v="10"/>
    <s v="Amit"/>
    <s v="CUST138"/>
    <s v="Female"/>
    <n v="20"/>
    <x v="3"/>
    <s v="Bengaluru"/>
    <x v="0"/>
    <s v="Shorts"/>
    <s v="Shorts"/>
    <x v="4"/>
    <s v="M"/>
    <s v="Red"/>
    <n v="4"/>
    <n v="1099"/>
    <n v="1371"/>
    <n v="10"/>
    <n v="4935.6000000000004"/>
    <n v="4396"/>
    <n v="539.60000000000036"/>
    <x v="2"/>
    <x v="0"/>
    <s v="Cancelled"/>
  </r>
  <r>
    <s v="ORD1088"/>
    <s v="19-03-2025"/>
    <x v="6"/>
    <s v="Pooja"/>
    <s v="CUST159"/>
    <s v="Male"/>
    <n v="40"/>
    <x v="2"/>
    <s v="Delhi"/>
    <x v="1"/>
    <s v="Kurti"/>
    <s v="Kurti"/>
    <x v="2"/>
    <s v="L"/>
    <s v="Black"/>
    <n v="3"/>
    <n v="1059"/>
    <n v="1696"/>
    <n v="20"/>
    <n v="4070.4"/>
    <n v="3177"/>
    <n v="893.40000000000009"/>
    <x v="1"/>
    <x v="0"/>
    <s v="Delivered"/>
  </r>
  <r>
    <s v="ORD1089"/>
    <s v="24-11-2025"/>
    <x v="2"/>
    <s v="Pooja"/>
    <s v="CUST116"/>
    <s v="Male"/>
    <n v="49"/>
    <x v="0"/>
    <s v="Jaipur"/>
    <x v="2"/>
    <s v="Jeans"/>
    <s v="Jeans"/>
    <x v="0"/>
    <s v="M"/>
    <s v="Green"/>
    <n v="1"/>
    <n v="484"/>
    <n v="1260"/>
    <n v="0"/>
    <n v="1260"/>
    <n v="484"/>
    <n v="776"/>
    <x v="0"/>
    <x v="1"/>
    <s v="Cancelled"/>
  </r>
  <r>
    <s v="ORD1090"/>
    <s v="05-09-2025"/>
    <x v="10"/>
    <s v="Rohit"/>
    <s v="CUST196"/>
    <s v="Female"/>
    <n v="18"/>
    <x v="3"/>
    <s v="Bengaluru"/>
    <x v="0"/>
    <s v="Tshirt"/>
    <s v="Tshirt"/>
    <x v="1"/>
    <s v="L"/>
    <s v="Blue"/>
    <n v="3"/>
    <n v="1294"/>
    <n v="1733"/>
    <n v="0"/>
    <n v="5199"/>
    <n v="3882"/>
    <n v="1317"/>
    <x v="0"/>
    <x v="1"/>
    <s v="Cancelled"/>
  </r>
  <r>
    <s v="ORD1091"/>
    <s v="28-07-2025"/>
    <x v="7"/>
    <s v="Anjali"/>
    <s v="CUST182"/>
    <s v="Male"/>
    <n v="21"/>
    <x v="3"/>
    <s v="Bengaluru"/>
    <x v="2"/>
    <s v="Shirts"/>
    <s v="Shirts"/>
    <x v="2"/>
    <s v="XL"/>
    <s v="Black"/>
    <n v="5"/>
    <n v="332"/>
    <n v="732"/>
    <n v="15"/>
    <n v="3111"/>
    <n v="1660"/>
    <n v="1451"/>
    <x v="2"/>
    <x v="1"/>
    <s v="Delivered"/>
  </r>
  <r>
    <s v="ORD1092"/>
    <s v="08-01-2025"/>
    <x v="4"/>
    <s v="Rahul"/>
    <s v="CUST150"/>
    <s v="Male"/>
    <n v="39"/>
    <x v="2"/>
    <s v="Delhi"/>
    <x v="0"/>
    <s v="Tshirt"/>
    <s v="Tshirt"/>
    <x v="4"/>
    <s v="M"/>
    <s v="Black"/>
    <n v="5"/>
    <n v="1166"/>
    <n v="1452"/>
    <n v="0"/>
    <n v="7260"/>
    <n v="5830"/>
    <n v="1430"/>
    <x v="1"/>
    <x v="0"/>
    <s v="Cancelled"/>
  </r>
  <r>
    <s v="ORD1093"/>
    <s v="25-12-2025"/>
    <x v="5"/>
    <s v="Sumit"/>
    <s v="CUST141"/>
    <s v="Male"/>
    <n v="50"/>
    <x v="1"/>
    <s v="Mumbai"/>
    <x v="1"/>
    <s v="Saree"/>
    <s v="Saree"/>
    <x v="2"/>
    <s v="M"/>
    <s v="Blue"/>
    <n v="2"/>
    <n v="306"/>
    <n v="1003"/>
    <n v="0"/>
    <n v="2006"/>
    <n v="612"/>
    <n v="1394"/>
    <x v="2"/>
    <x v="0"/>
    <s v="Delivered"/>
  </r>
  <r>
    <s v="ORD1094"/>
    <s v="22-12-2025"/>
    <x v="5"/>
    <s v="Pooja"/>
    <s v="CUST165"/>
    <s v="Female"/>
    <n v="48"/>
    <x v="4"/>
    <s v="Lucknow"/>
    <x v="0"/>
    <s v="Shorts"/>
    <s v="Shorts"/>
    <x v="4"/>
    <s v="L"/>
    <s v="White"/>
    <n v="1"/>
    <n v="1271"/>
    <n v="2021"/>
    <n v="20"/>
    <n v="1616.8000000000002"/>
    <n v="1271"/>
    <n v="345.80000000000018"/>
    <x v="2"/>
    <x v="0"/>
    <s v="Cancelled"/>
  </r>
  <r>
    <s v="ORD1095"/>
    <s v="02-03-2025"/>
    <x v="6"/>
    <s v="Neha"/>
    <s v="CUST197"/>
    <s v="Female"/>
    <n v="32"/>
    <x v="3"/>
    <s v="Bengaluru"/>
    <x v="2"/>
    <s v="Shirts"/>
    <s v="Shirts"/>
    <x v="4"/>
    <s v="L"/>
    <s v="Green"/>
    <n v="3"/>
    <n v="463"/>
    <n v="1219"/>
    <n v="15"/>
    <n v="3108.45"/>
    <n v="1389"/>
    <n v="1719.4499999999998"/>
    <x v="1"/>
    <x v="0"/>
    <s v="Returned"/>
  </r>
  <r>
    <s v="ORD1096"/>
    <s v="20-12-2025"/>
    <x v="5"/>
    <s v="Priya"/>
    <s v="CUST135"/>
    <s v="Male"/>
    <n v="26"/>
    <x v="0"/>
    <s v="Jaipur"/>
    <x v="0"/>
    <s v="Tshirt"/>
    <s v="Tshirt"/>
    <x v="1"/>
    <s v="S"/>
    <s v="White"/>
    <n v="5"/>
    <n v="1468"/>
    <n v="2141"/>
    <n v="10"/>
    <n v="9634.5"/>
    <n v="7340"/>
    <n v="2294.5"/>
    <x v="2"/>
    <x v="1"/>
    <s v="Delivered"/>
  </r>
  <r>
    <s v="ORD1097"/>
    <s v="30-01-2025"/>
    <x v="4"/>
    <s v="Neha"/>
    <s v="CUST137"/>
    <s v="Male"/>
    <n v="55"/>
    <x v="4"/>
    <s v="Lucknow"/>
    <x v="1"/>
    <s v="Kurti"/>
    <s v="Kurti"/>
    <x v="2"/>
    <s v="M"/>
    <s v="Green"/>
    <n v="5"/>
    <n v="1391"/>
    <n v="1912"/>
    <n v="0"/>
    <n v="9560"/>
    <n v="6955"/>
    <n v="2605"/>
    <x v="0"/>
    <x v="1"/>
    <s v="Returned"/>
  </r>
  <r>
    <s v="ORD1098"/>
    <s v="06-04-2025"/>
    <x v="11"/>
    <s v="Neha"/>
    <s v="CUST170"/>
    <s v="Female"/>
    <n v="38"/>
    <x v="1"/>
    <s v="Mumbai"/>
    <x v="1"/>
    <s v="Saree"/>
    <s v="Saree"/>
    <x v="4"/>
    <s v="XL"/>
    <s v="Black"/>
    <n v="1"/>
    <n v="505"/>
    <n v="912"/>
    <n v="5"/>
    <n v="866.4"/>
    <n v="505"/>
    <n v="361.4"/>
    <x v="0"/>
    <x v="1"/>
    <s v="Returned"/>
  </r>
  <r>
    <s v="ORD1099"/>
    <s v="31-03-2025"/>
    <x v="6"/>
    <s v="Anjali"/>
    <s v="CUST130"/>
    <s v="Female"/>
    <n v="43"/>
    <x v="0"/>
    <s v="Jaipur"/>
    <x v="2"/>
    <s v="Shirts"/>
    <s v="Shirts"/>
    <x v="2"/>
    <s v="L"/>
    <s v="Blue"/>
    <n v="5"/>
    <n v="543"/>
    <n v="826"/>
    <n v="0"/>
    <n v="4130"/>
    <n v="2715"/>
    <n v="1415"/>
    <x v="1"/>
    <x v="1"/>
    <s v="Returned"/>
  </r>
  <r>
    <s v="ORD1100"/>
    <s v="07-08-2025"/>
    <x v="1"/>
    <s v="Rohit"/>
    <s v="CUST135"/>
    <s v="Female"/>
    <n v="34"/>
    <x v="4"/>
    <s v="Lucknow"/>
    <x v="1"/>
    <s v="Saree"/>
    <s v="Saree"/>
    <x v="1"/>
    <s v="XL"/>
    <s v="White"/>
    <n v="4"/>
    <n v="1399"/>
    <n v="2016"/>
    <n v="10"/>
    <n v="7257.6"/>
    <n v="5596"/>
    <n v="1661.6000000000004"/>
    <x v="1"/>
    <x v="0"/>
    <s v="Returned"/>
  </r>
  <r>
    <s v="ORD1101"/>
    <s v="08-04-2025"/>
    <x v="11"/>
    <s v="Pooja"/>
    <s v="CUST172"/>
    <s v="Female"/>
    <n v="33"/>
    <x v="1"/>
    <s v="Mumbai"/>
    <x v="2"/>
    <s v="Jeans"/>
    <s v="Jeans"/>
    <x v="3"/>
    <s v="M"/>
    <s v="Black"/>
    <n v="5"/>
    <n v="1178"/>
    <n v="1537"/>
    <n v="20"/>
    <n v="6148"/>
    <n v="5890"/>
    <n v="258"/>
    <x v="1"/>
    <x v="1"/>
    <s v="Cancelled"/>
  </r>
  <r>
    <s v="ORD1102"/>
    <s v="22-07-2025"/>
    <x v="7"/>
    <s v="Pooja"/>
    <s v="CUST114"/>
    <s v="Male"/>
    <n v="34"/>
    <x v="3"/>
    <s v="Bengaluru"/>
    <x v="0"/>
    <s v="Tshirt"/>
    <s v="Tshirt"/>
    <x v="1"/>
    <s v="S"/>
    <s v="Red"/>
    <n v="2"/>
    <n v="860"/>
    <n v="1239"/>
    <n v="10"/>
    <n v="2230.2000000000003"/>
    <n v="1720"/>
    <n v="510.20000000000027"/>
    <x v="1"/>
    <x v="0"/>
    <s v="Returned"/>
  </r>
  <r>
    <s v="ORD1103"/>
    <s v="11-04-2025"/>
    <x v="11"/>
    <s v="Sumit"/>
    <s v="CUST135"/>
    <s v="Female"/>
    <n v="46"/>
    <x v="1"/>
    <s v="Mumbai"/>
    <x v="2"/>
    <s v="Shirts"/>
    <s v="Shirts"/>
    <x v="4"/>
    <s v="XL"/>
    <s v="Black"/>
    <n v="2"/>
    <n v="1178"/>
    <n v="1633"/>
    <n v="10"/>
    <n v="2939.4"/>
    <n v="2356"/>
    <n v="583.40000000000009"/>
    <x v="2"/>
    <x v="1"/>
    <s v="Delivered"/>
  </r>
  <r>
    <s v="ORD1104"/>
    <s v="03-06-2025"/>
    <x v="9"/>
    <s v="Rohit"/>
    <s v="CUST165"/>
    <s v="Female"/>
    <n v="27"/>
    <x v="2"/>
    <s v="Delhi"/>
    <x v="2"/>
    <s v="Shirts"/>
    <s v="Shirts"/>
    <x v="3"/>
    <s v="L"/>
    <s v="Black"/>
    <n v="2"/>
    <n v="555"/>
    <n v="960"/>
    <n v="0"/>
    <n v="1920"/>
    <n v="1110"/>
    <n v="810"/>
    <x v="0"/>
    <x v="1"/>
    <s v="Cancelled"/>
  </r>
  <r>
    <s v="ORD1105"/>
    <s v="08-07-2025"/>
    <x v="7"/>
    <s v="Vikas"/>
    <s v="CUST100"/>
    <s v="Female"/>
    <n v="40"/>
    <x v="0"/>
    <s v="Jaipur"/>
    <x v="1"/>
    <s v="Kurti"/>
    <s v="Kurti"/>
    <x v="2"/>
    <s v="XL"/>
    <s v="White"/>
    <n v="4"/>
    <n v="1495"/>
    <n v="1764"/>
    <n v="0"/>
    <n v="7056"/>
    <n v="5980"/>
    <n v="1076"/>
    <x v="0"/>
    <x v="0"/>
    <s v="Delivered"/>
  </r>
  <r>
    <s v="ORD1106"/>
    <s v="25-01-2025"/>
    <x v="4"/>
    <s v="Priya"/>
    <s v="CUST172"/>
    <s v="Female"/>
    <n v="23"/>
    <x v="2"/>
    <s v="Delhi"/>
    <x v="0"/>
    <s v="Shorts"/>
    <s v="Shorts"/>
    <x v="3"/>
    <s v="XL"/>
    <s v="Black"/>
    <n v="1"/>
    <n v="981"/>
    <n v="1707"/>
    <n v="0"/>
    <n v="1707"/>
    <n v="981"/>
    <n v="726"/>
    <x v="1"/>
    <x v="1"/>
    <s v="Returned"/>
  </r>
  <r>
    <s v="ORD1107"/>
    <s v="20-10-2025"/>
    <x v="0"/>
    <s v="Vikas"/>
    <s v="CUST181"/>
    <s v="Male"/>
    <n v="20"/>
    <x v="2"/>
    <s v="Delhi"/>
    <x v="0"/>
    <s v="Tshirt"/>
    <s v="Tshirt"/>
    <x v="2"/>
    <s v="L"/>
    <s v="White"/>
    <n v="3"/>
    <n v="845"/>
    <n v="1155"/>
    <n v="10"/>
    <n v="3118.5"/>
    <n v="2535"/>
    <n v="583.5"/>
    <x v="1"/>
    <x v="1"/>
    <s v="Delivered"/>
  </r>
  <r>
    <s v="ORD1108"/>
    <s v="09-11-2025"/>
    <x v="2"/>
    <s v="Priya"/>
    <s v="CUST127"/>
    <s v="Male"/>
    <n v="35"/>
    <x v="3"/>
    <s v="Bengaluru"/>
    <x v="0"/>
    <s v="Tshirt"/>
    <s v="Tshirt"/>
    <x v="2"/>
    <s v="L"/>
    <s v="Blue"/>
    <n v="2"/>
    <n v="1061"/>
    <n v="1740"/>
    <n v="5"/>
    <n v="3306"/>
    <n v="2122"/>
    <n v="1184"/>
    <x v="2"/>
    <x v="1"/>
    <s v="Returned"/>
  </r>
  <r>
    <s v="ORD1109"/>
    <s v="10-03-2025"/>
    <x v="6"/>
    <s v="Sneha"/>
    <s v="CUST157"/>
    <s v="Male"/>
    <n v="55"/>
    <x v="1"/>
    <s v="Mumbai"/>
    <x v="0"/>
    <s v="Shorts"/>
    <s v="Shorts"/>
    <x v="2"/>
    <s v="S"/>
    <s v="Black"/>
    <n v="2"/>
    <n v="700"/>
    <n v="844"/>
    <n v="0"/>
    <n v="1688"/>
    <n v="1400"/>
    <n v="288"/>
    <x v="2"/>
    <x v="0"/>
    <s v="Cancelled"/>
  </r>
  <r>
    <s v="ORD1110"/>
    <s v="23-10-2025"/>
    <x v="0"/>
    <s v="Neha"/>
    <s v="CUST109"/>
    <s v="Female"/>
    <n v="49"/>
    <x v="1"/>
    <s v="Mumbai"/>
    <x v="0"/>
    <s v="Shorts"/>
    <s v="Shorts"/>
    <x v="0"/>
    <s v="M"/>
    <s v="Red"/>
    <n v="3"/>
    <n v="692"/>
    <n v="1255"/>
    <n v="10"/>
    <n v="3388.5"/>
    <n v="2076"/>
    <n v="1312.5"/>
    <x v="1"/>
    <x v="0"/>
    <s v="Cancelled"/>
  </r>
  <r>
    <s v="ORD1111"/>
    <s v="12-02-2025"/>
    <x v="8"/>
    <s v="Vikas"/>
    <s v="CUST126"/>
    <s v="Female"/>
    <n v="26"/>
    <x v="0"/>
    <s v="Jaipur"/>
    <x v="0"/>
    <s v="Shorts"/>
    <s v="Shorts"/>
    <x v="3"/>
    <s v="S"/>
    <s v="Blue"/>
    <n v="3"/>
    <n v="596"/>
    <n v="1257"/>
    <n v="5"/>
    <n v="3582.45"/>
    <n v="1788"/>
    <n v="1794.4499999999998"/>
    <x v="0"/>
    <x v="1"/>
    <s v="Cancelled"/>
  </r>
  <r>
    <s v="ORD1112"/>
    <s v="08-07-2025"/>
    <x v="7"/>
    <s v="Anjali  "/>
    <s v="CUST185"/>
    <s v="Female"/>
    <n v="39"/>
    <x v="2"/>
    <s v="Delhi"/>
    <x v="0"/>
    <s v="Tshirt"/>
    <s v="Tshirt"/>
    <x v="2"/>
    <s v="M"/>
    <s v="White"/>
    <n v="2"/>
    <n v="1325"/>
    <n v="1760"/>
    <n v="5"/>
    <n v="3344"/>
    <n v="2650"/>
    <n v="694"/>
    <x v="1"/>
    <x v="0"/>
    <s v="Cancelled"/>
  </r>
  <r>
    <s v="ORD1113"/>
    <s v="27-10-2025"/>
    <x v="0"/>
    <s v="Sneha"/>
    <s v="CUST197"/>
    <s v="Female"/>
    <n v="49"/>
    <x v="0"/>
    <s v="Jaipur"/>
    <x v="0"/>
    <s v="Tshirt"/>
    <s v="Tshirt"/>
    <x v="4"/>
    <s v="XL"/>
    <s v="Green"/>
    <n v="3"/>
    <n v="1467"/>
    <n v="1951"/>
    <n v="0"/>
    <n v="5853"/>
    <n v="4401"/>
    <n v="1452"/>
    <x v="2"/>
    <x v="1"/>
    <s v="Delivered"/>
  </r>
  <r>
    <s v="ORD1114"/>
    <s v="27-08-2025"/>
    <x v="1"/>
    <s v="Pooja"/>
    <s v="CUST188"/>
    <s v="Male"/>
    <n v="21"/>
    <x v="1"/>
    <s v="Mumbai"/>
    <x v="2"/>
    <s v="Shirts"/>
    <s v="Shirts"/>
    <x v="4"/>
    <s v="XL"/>
    <s v="Black"/>
    <n v="5"/>
    <n v="1195"/>
    <n v="1564"/>
    <n v="10"/>
    <n v="7038"/>
    <n v="5975"/>
    <n v="1063"/>
    <x v="2"/>
    <x v="0"/>
    <s v="Cancelled"/>
  </r>
  <r>
    <s v="ORD1115"/>
    <s v="09-02-2025"/>
    <x v="8"/>
    <s v="Pooja"/>
    <s v="CUST164"/>
    <s v="Female"/>
    <n v="54"/>
    <x v="3"/>
    <s v="Bengaluru"/>
    <x v="2"/>
    <s v="Jeans"/>
    <s v="Jeans"/>
    <x v="2"/>
    <s v="M"/>
    <s v="Black"/>
    <n v="1"/>
    <n v="559"/>
    <n v="751"/>
    <n v="0"/>
    <n v="751"/>
    <n v="559"/>
    <n v="192"/>
    <x v="0"/>
    <x v="0"/>
    <s v="Returned"/>
  </r>
  <r>
    <s v="ORD1116"/>
    <s v="15-07-2025"/>
    <x v="7"/>
    <s v="Rahul"/>
    <s v="CUST126"/>
    <s v="Male"/>
    <n v="25"/>
    <x v="4"/>
    <s v="Lucknow"/>
    <x v="1"/>
    <s v="Kurti"/>
    <s v="Kurti"/>
    <x v="3"/>
    <s v="S"/>
    <s v="Red"/>
    <n v="3"/>
    <n v="1252"/>
    <n v="2018"/>
    <n v="20"/>
    <n v="4843.2"/>
    <n v="3756"/>
    <n v="1087.1999999999998"/>
    <x v="2"/>
    <x v="1"/>
    <s v="Returned"/>
  </r>
  <r>
    <s v="ORD1117"/>
    <s v="19-02-2025"/>
    <x v="8"/>
    <s v="Sumit"/>
    <s v="CUST177"/>
    <s v="Male"/>
    <n v="43"/>
    <x v="0"/>
    <s v="Jaipur"/>
    <x v="2"/>
    <s v="Shirts"/>
    <s v="Shirts"/>
    <x v="2"/>
    <s v="XL"/>
    <s v="Green"/>
    <n v="4"/>
    <n v="1358"/>
    <n v="1505"/>
    <n v="0"/>
    <n v="6020"/>
    <n v="5432"/>
    <n v="588"/>
    <x v="1"/>
    <x v="0"/>
    <s v="Delivered"/>
  </r>
  <r>
    <s v="ORD1118"/>
    <s v="04-09-2025"/>
    <x v="10"/>
    <s v="Neha"/>
    <s v="CUST170"/>
    <s v="Female"/>
    <n v="42"/>
    <x v="1"/>
    <s v="Mumbai"/>
    <x v="2"/>
    <s v="Shirts"/>
    <s v="Shirts"/>
    <x v="0"/>
    <s v="L"/>
    <s v="Green"/>
    <n v="3"/>
    <n v="604"/>
    <n v="1257"/>
    <n v="0"/>
    <n v="3771"/>
    <n v="1812"/>
    <n v="1959"/>
    <x v="1"/>
    <x v="1"/>
    <s v="Cancelled"/>
  </r>
  <r>
    <s v="ORD1119"/>
    <s v="10-02-2025"/>
    <x v="8"/>
    <s v="Rahul"/>
    <s v="CUST148"/>
    <s v="Male"/>
    <n v="49"/>
    <x v="0"/>
    <s v="Jaipur"/>
    <x v="1"/>
    <s v="Saree"/>
    <s v="Saree"/>
    <x v="1"/>
    <s v="M"/>
    <s v="Black"/>
    <n v="3"/>
    <n v="302"/>
    <n v="560"/>
    <n v="10"/>
    <n v="1512"/>
    <n v="906"/>
    <n v="606"/>
    <x v="0"/>
    <x v="0"/>
    <s v="Delivered"/>
  </r>
  <r>
    <s v="ORD1120"/>
    <s v="24-05-2025"/>
    <x v="3"/>
    <s v="Anjali"/>
    <s v="CUST167"/>
    <s v="Male"/>
    <n v="22"/>
    <x v="1"/>
    <s v="Mumbai"/>
    <x v="1"/>
    <s v="Saree"/>
    <s v="Saree"/>
    <x v="3"/>
    <s v="S"/>
    <s v="Blue"/>
    <n v="2"/>
    <n v="911"/>
    <n v="1283"/>
    <n v="10"/>
    <n v="2309.4"/>
    <n v="1822"/>
    <n v="487.40000000000009"/>
    <x v="0"/>
    <x v="1"/>
    <s v="Delivered"/>
  </r>
  <r>
    <s v="ORD1121"/>
    <s v="04-10-2025"/>
    <x v="0"/>
    <s v="Vikas"/>
    <s v="CUST103"/>
    <s v="Female"/>
    <n v="21"/>
    <x v="1"/>
    <s v="Mumbai"/>
    <x v="0"/>
    <s v="Tshirt"/>
    <s v="Tshirt"/>
    <x v="1"/>
    <s v="S"/>
    <s v="Blue"/>
    <n v="5"/>
    <n v="1152"/>
    <n v="1934"/>
    <n v="5"/>
    <n v="9186.5"/>
    <n v="5760"/>
    <n v="3426.5"/>
    <x v="1"/>
    <x v="0"/>
    <s v="Returned"/>
  </r>
  <r>
    <s v="ORD1122"/>
    <s v="25-03-2025"/>
    <x v="6"/>
    <s v="Rohit"/>
    <s v="CUST142"/>
    <s v="Female"/>
    <n v="42"/>
    <x v="3"/>
    <s v="Bengaluru"/>
    <x v="2"/>
    <s v="Shirts"/>
    <s v="Shirts"/>
    <x v="0"/>
    <s v="XL"/>
    <s v="Blue"/>
    <n v="1"/>
    <n v="981"/>
    <n v="1470"/>
    <n v="5"/>
    <n v="1396.5"/>
    <n v="981"/>
    <n v="415.5"/>
    <x v="1"/>
    <x v="0"/>
    <s v="Delivered"/>
  </r>
  <r>
    <s v="ORD1123"/>
    <s v="29-08-2025"/>
    <x v="1"/>
    <s v="Sumit"/>
    <s v="CUST191"/>
    <s v="Female"/>
    <n v="36"/>
    <x v="3"/>
    <s v="Bengaluru"/>
    <x v="0"/>
    <s v="Tshirt"/>
    <s v="Tshirt"/>
    <x v="0"/>
    <s v="L"/>
    <s v="White"/>
    <n v="4"/>
    <n v="950"/>
    <n v="1465"/>
    <n v="10"/>
    <n v="5274"/>
    <n v="3800"/>
    <n v="1474"/>
    <x v="1"/>
    <x v="0"/>
    <s v="Cancelled"/>
  </r>
  <r>
    <s v="ORD1124"/>
    <s v="14-08-2025"/>
    <x v="1"/>
    <s v="Rohit"/>
    <s v="CUST121"/>
    <s v="Female"/>
    <n v="27"/>
    <x v="3"/>
    <s v="Bengaluru"/>
    <x v="1"/>
    <s v="Kurti"/>
    <s v="Kurti"/>
    <x v="4"/>
    <s v="L"/>
    <s v="Green"/>
    <n v="4"/>
    <n v="301"/>
    <n v="537"/>
    <n v="0"/>
    <n v="2148"/>
    <n v="1204"/>
    <n v="944"/>
    <x v="0"/>
    <x v="1"/>
    <s v="Cancelled"/>
  </r>
  <r>
    <s v="ORD1125"/>
    <s v="01-02-2025"/>
    <x v="8"/>
    <s v="Rahul"/>
    <s v="CUST155"/>
    <s v="Female"/>
    <n v="36"/>
    <x v="0"/>
    <s v="Jaipur"/>
    <x v="1"/>
    <s v="Kurti"/>
    <s v="Kurti"/>
    <x v="3"/>
    <s v="L"/>
    <s v="Red"/>
    <n v="5"/>
    <n v="817"/>
    <n v="1007"/>
    <n v="5"/>
    <n v="4783.25"/>
    <n v="4085"/>
    <n v="698.25"/>
    <x v="0"/>
    <x v="1"/>
    <s v="Delivered"/>
  </r>
  <r>
    <s v="ORD1126"/>
    <s v="25-06-2025"/>
    <x v="9"/>
    <s v="Rohit"/>
    <s v="CUST167"/>
    <s v="Male"/>
    <n v="22"/>
    <x v="3"/>
    <s v="Bengaluru"/>
    <x v="1"/>
    <s v="Saree"/>
    <s v="Saree"/>
    <x v="1"/>
    <s v="L"/>
    <s v="Green"/>
    <n v="2"/>
    <n v="563"/>
    <n v="1127"/>
    <n v="10"/>
    <n v="2028.6000000000001"/>
    <n v="1126"/>
    <n v="902.60000000000014"/>
    <x v="2"/>
    <x v="0"/>
    <s v="Returned"/>
  </r>
  <r>
    <s v="ORD1127"/>
    <s v="30-03-2025"/>
    <x v="6"/>
    <s v="Priya"/>
    <s v="CUST185"/>
    <s v="Female"/>
    <n v="40"/>
    <x v="0"/>
    <s v="Jaipur"/>
    <x v="2"/>
    <s v="Shirts"/>
    <s v="Shirts"/>
    <x v="0"/>
    <s v="XL"/>
    <s v="Blue"/>
    <n v="4"/>
    <n v="1383"/>
    <n v="2160"/>
    <n v="0"/>
    <n v="8640"/>
    <n v="5532"/>
    <n v="3108"/>
    <x v="1"/>
    <x v="0"/>
    <s v="Returned"/>
  </r>
  <r>
    <s v="ORD1128"/>
    <s v="06-09-2025"/>
    <x v="10"/>
    <s v="Sumit"/>
    <s v="CUST195"/>
    <s v="Male"/>
    <n v="25"/>
    <x v="3"/>
    <s v="Bengaluru"/>
    <x v="1"/>
    <s v="Saree"/>
    <s v="Saree"/>
    <x v="0"/>
    <s v="XL"/>
    <s v="Red"/>
    <n v="1"/>
    <n v="1181"/>
    <n v="1740"/>
    <n v="20"/>
    <n v="1392"/>
    <n v="1181"/>
    <n v="211"/>
    <x v="1"/>
    <x v="0"/>
    <s v="Cancelled"/>
  </r>
  <r>
    <s v="ORD1129"/>
    <s v="04-06-2025"/>
    <x v="9"/>
    <s v="Sumit"/>
    <s v="CUST117"/>
    <s v="Female"/>
    <n v="50"/>
    <x v="3"/>
    <s v="Bengaluru"/>
    <x v="1"/>
    <s v="Kurti"/>
    <s v="Kurti"/>
    <x v="1"/>
    <s v="M"/>
    <s v="Red"/>
    <n v="3"/>
    <n v="577"/>
    <n v="880"/>
    <n v="20"/>
    <n v="2112"/>
    <n v="1731"/>
    <n v="381"/>
    <x v="2"/>
    <x v="1"/>
    <s v="Delivered"/>
  </r>
  <r>
    <s v="ORD1130"/>
    <s v="16-07-2025"/>
    <x v="7"/>
    <s v="Anjali"/>
    <s v="CUST184"/>
    <s v="Female"/>
    <n v="55"/>
    <x v="2"/>
    <s v="Delhi"/>
    <x v="0"/>
    <s v="Shorts"/>
    <s v="Shorts"/>
    <x v="2"/>
    <s v="M"/>
    <s v="White"/>
    <n v="4"/>
    <n v="720"/>
    <n v="1332"/>
    <n v="15"/>
    <n v="4528.8"/>
    <n v="2880"/>
    <n v="1648.8000000000002"/>
    <x v="2"/>
    <x v="1"/>
    <s v="Returned"/>
  </r>
  <r>
    <s v="ORD1131"/>
    <s v="19-03-2025"/>
    <x v="6"/>
    <s v="Rahul"/>
    <s v="CUST150"/>
    <s v="Male"/>
    <n v="28"/>
    <x v="1"/>
    <s v="Mumbai"/>
    <x v="0"/>
    <s v="Shorts"/>
    <s v="Shorts"/>
    <x v="3"/>
    <s v="S"/>
    <s v="Green"/>
    <n v="2"/>
    <n v="562"/>
    <n v="1314"/>
    <n v="10"/>
    <n v="2365.2000000000003"/>
    <n v="1124"/>
    <n v="1241.2000000000003"/>
    <x v="0"/>
    <x v="0"/>
    <s v="Delivered"/>
  </r>
  <r>
    <s v="ORD1132"/>
    <s v="14-05-2025"/>
    <x v="3"/>
    <s v="Priya"/>
    <s v="CUST120"/>
    <s v="Male"/>
    <n v="27"/>
    <x v="4"/>
    <s v="Lucknow"/>
    <x v="1"/>
    <s v="Kurti"/>
    <s v="Kurti"/>
    <x v="2"/>
    <s v="M"/>
    <s v="Black"/>
    <n v="5"/>
    <n v="1084"/>
    <n v="1596"/>
    <n v="15"/>
    <n v="6783"/>
    <n v="5420"/>
    <n v="1363"/>
    <x v="1"/>
    <x v="0"/>
    <s v="Delivered"/>
  </r>
  <r>
    <s v="ORD1133"/>
    <s v="10-05-2025"/>
    <x v="3"/>
    <s v="Amit"/>
    <s v="CUST127"/>
    <s v="Female"/>
    <n v="50"/>
    <x v="4"/>
    <s v="Lucknow"/>
    <x v="2"/>
    <s v="Shirts"/>
    <s v="Shirts"/>
    <x v="1"/>
    <s v="M"/>
    <s v="Red"/>
    <n v="4"/>
    <n v="300"/>
    <n v="750"/>
    <n v="10"/>
    <n v="2700"/>
    <n v="1200"/>
    <n v="1500"/>
    <x v="0"/>
    <x v="1"/>
    <s v="Returned"/>
  </r>
  <r>
    <s v="ORD1134"/>
    <s v="14-12-2025"/>
    <x v="5"/>
    <s v="Rahul"/>
    <s v="CUST182"/>
    <s v="Female"/>
    <n v="40"/>
    <x v="4"/>
    <s v="Lucknow"/>
    <x v="2"/>
    <s v="Jeans"/>
    <s v="Jeans"/>
    <x v="2"/>
    <s v="L"/>
    <s v="Black"/>
    <n v="5"/>
    <n v="674"/>
    <n v="1118"/>
    <n v="15"/>
    <n v="4751.5"/>
    <n v="3370"/>
    <n v="1381.5"/>
    <x v="1"/>
    <x v="0"/>
    <s v="Returned"/>
  </r>
  <r>
    <s v="ORD1135"/>
    <s v="10-06-2025"/>
    <x v="9"/>
    <s v="Sneha"/>
    <s v="CUST163"/>
    <s v="Female"/>
    <n v="21"/>
    <x v="1"/>
    <s v="Mumbai"/>
    <x v="1"/>
    <s v="Saree"/>
    <s v="Saree"/>
    <x v="4"/>
    <s v="L"/>
    <s v="Blue"/>
    <n v="3"/>
    <n v="508"/>
    <n v="726"/>
    <n v="10"/>
    <n v="1960.2"/>
    <n v="1524"/>
    <n v="436.20000000000005"/>
    <x v="0"/>
    <x v="0"/>
    <s v="Cancelled"/>
  </r>
  <r>
    <s v="ORD1136"/>
    <s v="30-03-2025"/>
    <x v="6"/>
    <s v="Anjali"/>
    <s v="CUST171"/>
    <s v="Male"/>
    <n v="45"/>
    <x v="4"/>
    <s v="Lucknow"/>
    <x v="1"/>
    <s v="Saree"/>
    <s v="Saree"/>
    <x v="0"/>
    <s v="L"/>
    <s v="Red"/>
    <n v="5"/>
    <n v="1438"/>
    <n v="2045"/>
    <n v="15"/>
    <n v="8691.25"/>
    <n v="7190"/>
    <n v="1501.25"/>
    <x v="1"/>
    <x v="0"/>
    <s v="Cancelled"/>
  </r>
  <r>
    <s v="ORD1137"/>
    <s v="10-11-2025"/>
    <x v="2"/>
    <s v="Anjali"/>
    <s v="CUST119"/>
    <s v="Male"/>
    <n v="48"/>
    <x v="0"/>
    <s v="Jaipur"/>
    <x v="2"/>
    <s v="Jeans"/>
    <s v="Jeans"/>
    <x v="2"/>
    <s v="S"/>
    <s v="White"/>
    <n v="1"/>
    <n v="763"/>
    <n v="1267"/>
    <n v="20"/>
    <n v="1013.6"/>
    <n v="763"/>
    <n v="250.60000000000002"/>
    <x v="1"/>
    <x v="0"/>
    <s v="Cancelled"/>
  </r>
  <r>
    <s v="ORD1138"/>
    <s v="11-06-2025"/>
    <x v="9"/>
    <s v="Vikas"/>
    <s v="CUST157"/>
    <s v="Female"/>
    <n v="20"/>
    <x v="0"/>
    <s v="Jaipur"/>
    <x v="1"/>
    <s v="Saree"/>
    <s v="Saree"/>
    <x v="2"/>
    <s v="S"/>
    <s v="Blue"/>
    <n v="5"/>
    <n v="582"/>
    <n v="1121"/>
    <n v="5"/>
    <n v="5324.75"/>
    <n v="2910"/>
    <n v="2414.75"/>
    <x v="1"/>
    <x v="0"/>
    <s v="Cancelled"/>
  </r>
  <r>
    <s v="ORD1139"/>
    <s v="02-03-2025"/>
    <x v="6"/>
    <s v="Rohit"/>
    <s v="CUST153"/>
    <s v="Female"/>
    <n v="41"/>
    <x v="4"/>
    <s v="Lucknow"/>
    <x v="0"/>
    <s v="Shorts"/>
    <s v="Shorts"/>
    <x v="2"/>
    <s v="M"/>
    <s v="White"/>
    <n v="3"/>
    <n v="1431"/>
    <n v="1784"/>
    <n v="10"/>
    <n v="4816.8"/>
    <n v="4293"/>
    <n v="523.80000000000018"/>
    <x v="0"/>
    <x v="1"/>
    <s v="Returned"/>
  </r>
  <r>
    <s v="ORD1140"/>
    <s v="04-07-2025"/>
    <x v="7"/>
    <s v="Vikas"/>
    <s v="CUST149"/>
    <s v="Female"/>
    <n v="27"/>
    <x v="1"/>
    <s v="Mumbai"/>
    <x v="2"/>
    <s v="Jeans"/>
    <s v="Jeans"/>
    <x v="3"/>
    <s v="M"/>
    <s v="White"/>
    <n v="1"/>
    <n v="1179"/>
    <n v="1771"/>
    <n v="20"/>
    <n v="1416.8000000000002"/>
    <n v="1179"/>
    <n v="237.80000000000018"/>
    <x v="1"/>
    <x v="0"/>
    <s v="Delivered"/>
  </r>
  <r>
    <s v="ORD1141"/>
    <s v="16-08-2025"/>
    <x v="1"/>
    <s v="Pooja"/>
    <s v="CUST120"/>
    <s v="Male"/>
    <n v="48"/>
    <x v="4"/>
    <s v="Lucknow"/>
    <x v="2"/>
    <s v="Shirts"/>
    <s v="Shirts"/>
    <x v="0"/>
    <s v="M"/>
    <s v="White"/>
    <n v="2"/>
    <n v="968"/>
    <n v="1568"/>
    <n v="0"/>
    <n v="3136"/>
    <n v="1936"/>
    <n v="1200"/>
    <x v="2"/>
    <x v="1"/>
    <s v="Cancelled"/>
  </r>
  <r>
    <s v="ORD1142"/>
    <s v="02-02-2025"/>
    <x v="8"/>
    <s v="Amit"/>
    <s v="CUST149"/>
    <s v="Male"/>
    <n v="18"/>
    <x v="3"/>
    <s v="Bengaluru"/>
    <x v="1"/>
    <s v="Kurti"/>
    <s v="Kurti"/>
    <x v="2"/>
    <s v="S"/>
    <s v="White"/>
    <n v="3"/>
    <n v="329"/>
    <n v="977"/>
    <n v="10"/>
    <n v="2637.9"/>
    <n v="987"/>
    <n v="1650.9"/>
    <x v="1"/>
    <x v="0"/>
    <s v="Delivered"/>
  </r>
  <r>
    <s v="ORD1143"/>
    <s v="08-11-2025"/>
    <x v="2"/>
    <s v="Amit"/>
    <s v="CUST129"/>
    <s v="Male"/>
    <n v="53"/>
    <x v="0"/>
    <s v="Jaipur"/>
    <x v="0"/>
    <s v="Shorts"/>
    <s v="Shorts"/>
    <x v="2"/>
    <s v="XL"/>
    <s v="Red"/>
    <n v="3"/>
    <n v="723"/>
    <n v="961"/>
    <n v="5"/>
    <n v="2738.85"/>
    <n v="2169"/>
    <n v="569.84999999999991"/>
    <x v="1"/>
    <x v="1"/>
    <s v="Delivered"/>
  </r>
  <r>
    <s v="ORD1144"/>
    <s v="24-11-2025"/>
    <x v="2"/>
    <s v="Amit"/>
    <s v="CUST149"/>
    <s v="Male"/>
    <n v="21"/>
    <x v="1"/>
    <s v="Mumbai"/>
    <x v="1"/>
    <s v="Saree"/>
    <s v="Saree"/>
    <x v="1"/>
    <s v="L"/>
    <s v="Green"/>
    <n v="1"/>
    <n v="569"/>
    <n v="972"/>
    <n v="20"/>
    <n v="777.6"/>
    <n v="569"/>
    <n v="208.60000000000002"/>
    <x v="2"/>
    <x v="0"/>
    <s v="Delivered"/>
  </r>
  <r>
    <s v="ORD1145"/>
    <s v="27-01-2025"/>
    <x v="4"/>
    <s v="Sumit"/>
    <s v="CUST138"/>
    <s v="Female"/>
    <n v="40"/>
    <x v="2"/>
    <s v="Delhi"/>
    <x v="0"/>
    <s v="Tshirt"/>
    <s v="Tshirt"/>
    <x v="3"/>
    <s v="S"/>
    <s v="White"/>
    <n v="2"/>
    <n v="475"/>
    <n v="851"/>
    <n v="15"/>
    <n v="1446.7"/>
    <n v="950"/>
    <n v="496.70000000000005"/>
    <x v="2"/>
    <x v="1"/>
    <s v="Delivered"/>
  </r>
  <r>
    <s v="ORD1146"/>
    <s v="04-03-2025"/>
    <x v="6"/>
    <s v="Rahul"/>
    <s v="CUST154"/>
    <s v="Female"/>
    <n v="22"/>
    <x v="4"/>
    <s v="Lucknow"/>
    <x v="1"/>
    <s v="Saree"/>
    <s v="Saree"/>
    <x v="2"/>
    <s v="M"/>
    <s v="Black"/>
    <n v="3"/>
    <n v="633"/>
    <n v="902"/>
    <n v="10"/>
    <n v="2435.4"/>
    <n v="1899"/>
    <n v="536.40000000000009"/>
    <x v="2"/>
    <x v="0"/>
    <s v="Delivered"/>
  </r>
  <r>
    <s v="ORD1147"/>
    <s v="16-11-2025"/>
    <x v="2"/>
    <s v="Vikas"/>
    <s v="CUST123"/>
    <s v="Male"/>
    <n v="19"/>
    <x v="4"/>
    <s v="Lucknow"/>
    <x v="0"/>
    <s v="Tshirt"/>
    <s v="Tshirt"/>
    <x v="1"/>
    <s v="L"/>
    <s v="Red"/>
    <n v="2"/>
    <n v="680"/>
    <n v="1196"/>
    <n v="5"/>
    <n v="2272.4"/>
    <n v="1360"/>
    <n v="912.40000000000009"/>
    <x v="1"/>
    <x v="0"/>
    <s v="Cancelled"/>
  </r>
  <r>
    <s v="ORD1148"/>
    <s v="05-11-2025"/>
    <x v="2"/>
    <s v="Sneha"/>
    <s v="CUST151"/>
    <s v="Female"/>
    <n v="23"/>
    <x v="3"/>
    <s v="Bengaluru"/>
    <x v="2"/>
    <s v="Jeans"/>
    <s v="Jeans"/>
    <x v="1"/>
    <s v="XL"/>
    <s v="Red"/>
    <n v="2"/>
    <n v="775"/>
    <n v="1364"/>
    <n v="20"/>
    <n v="2182.4"/>
    <n v="1550"/>
    <n v="632.40000000000009"/>
    <x v="1"/>
    <x v="0"/>
    <s v="Returned"/>
  </r>
  <r>
    <s v="ORD1149"/>
    <s v="09-03-2025"/>
    <x v="6"/>
    <s v="Pooja  "/>
    <s v="CUST124"/>
    <s v="Male"/>
    <n v="30"/>
    <x v="0"/>
    <s v="Jaipur"/>
    <x v="2"/>
    <s v="Shirts"/>
    <s v="Shirts"/>
    <x v="4"/>
    <s v="XL"/>
    <s v="White"/>
    <n v="2"/>
    <n v="825"/>
    <n v="1125"/>
    <n v="0"/>
    <n v="2250"/>
    <n v="1650"/>
    <n v="600"/>
    <x v="1"/>
    <x v="0"/>
    <s v="Returned"/>
  </r>
  <r>
    <s v="ORD1150"/>
    <s v="28-05-2025"/>
    <x v="3"/>
    <s v="Rohit"/>
    <s v="CUST186"/>
    <s v="Female"/>
    <n v="38"/>
    <x v="4"/>
    <s v="Lucknow"/>
    <x v="0"/>
    <s v="Tshirt"/>
    <s v="Tshirt"/>
    <x v="1"/>
    <s v="XL"/>
    <s v="Green"/>
    <n v="5"/>
    <n v="800"/>
    <n v="1403"/>
    <n v="5"/>
    <n v="6664.25"/>
    <n v="4000"/>
    <n v="2664.25"/>
    <x v="0"/>
    <x v="1"/>
    <s v="Returned"/>
  </r>
  <r>
    <s v="ORD1151"/>
    <s v="17-07-2025"/>
    <x v="7"/>
    <s v="Priya"/>
    <s v="CUST178"/>
    <s v="Male"/>
    <n v="43"/>
    <x v="0"/>
    <s v="Jaipur"/>
    <x v="2"/>
    <s v="Shirts"/>
    <s v="Shirts"/>
    <x v="4"/>
    <s v="L"/>
    <s v="Blue"/>
    <n v="2"/>
    <n v="801"/>
    <n v="1295"/>
    <n v="5"/>
    <n v="2460.5"/>
    <n v="1602"/>
    <n v="858.5"/>
    <x v="0"/>
    <x v="1"/>
    <s v="Delivered"/>
  </r>
  <r>
    <s v="ORD1152"/>
    <s v="21-05-2025"/>
    <x v="3"/>
    <s v="Priya"/>
    <s v="CUST141"/>
    <s v="Male"/>
    <n v="41"/>
    <x v="4"/>
    <s v="Lucknow"/>
    <x v="2"/>
    <s v="Jeans"/>
    <s v="Jeans"/>
    <x v="2"/>
    <s v="L"/>
    <s v="Red"/>
    <n v="3"/>
    <n v="793"/>
    <n v="1135"/>
    <n v="5"/>
    <n v="3234.75"/>
    <n v="2379"/>
    <n v="855.75"/>
    <x v="0"/>
    <x v="0"/>
    <s v="Returned"/>
  </r>
  <r>
    <s v="ORD1153"/>
    <s v="28-04-2025"/>
    <x v="11"/>
    <s v="Pooja"/>
    <s v="CUST187"/>
    <s v="Female"/>
    <n v="40"/>
    <x v="2"/>
    <s v="Delhi"/>
    <x v="2"/>
    <s v="Shirts"/>
    <s v="Shirts"/>
    <x v="1"/>
    <s v="S"/>
    <s v="Blue"/>
    <n v="1"/>
    <n v="490"/>
    <n v="794"/>
    <n v="10"/>
    <n v="714.6"/>
    <n v="490"/>
    <n v="224.60000000000002"/>
    <x v="2"/>
    <x v="0"/>
    <s v="Cancelled"/>
  </r>
  <r>
    <s v="ORD1154"/>
    <s v="30-10-2025"/>
    <x v="0"/>
    <s v="Sneha"/>
    <s v="CUST138"/>
    <s v="Female"/>
    <n v="55"/>
    <x v="3"/>
    <s v="Bengaluru"/>
    <x v="0"/>
    <s v="Shorts"/>
    <s v="Shorts"/>
    <x v="4"/>
    <s v="XL"/>
    <s v="Red"/>
    <n v="4"/>
    <n v="1099"/>
    <n v="1321"/>
    <n v="15"/>
    <n v="4491.3999999999996"/>
    <n v="4396"/>
    <n v="95.399999999999636"/>
    <x v="1"/>
    <x v="0"/>
    <s v="Cancelled"/>
  </r>
  <r>
    <s v="ORD1155"/>
    <s v="18-12-2025"/>
    <x v="5"/>
    <s v="Anjali"/>
    <s v="CUST102"/>
    <s v="Female"/>
    <n v="31"/>
    <x v="0"/>
    <s v="Jaipur"/>
    <x v="1"/>
    <s v="Kurti"/>
    <s v="Kurti"/>
    <x v="4"/>
    <s v="S"/>
    <s v="White"/>
    <n v="3"/>
    <n v="488"/>
    <n v="1159"/>
    <n v="10"/>
    <n v="3129.3"/>
    <n v="1464"/>
    <n v="1665.3000000000002"/>
    <x v="1"/>
    <x v="1"/>
    <s v="Delivered"/>
  </r>
  <r>
    <s v="ORD1156"/>
    <s v="10-11-2025"/>
    <x v="2"/>
    <s v="Priya"/>
    <s v="CUST114"/>
    <s v="Female"/>
    <n v="22"/>
    <x v="0"/>
    <s v="Jaipur"/>
    <x v="2"/>
    <s v="Jeans"/>
    <s v="Jeans"/>
    <x v="2"/>
    <s v="S"/>
    <s v="White"/>
    <n v="5"/>
    <n v="523"/>
    <n v="1239"/>
    <n v="15"/>
    <n v="5265.75"/>
    <n v="2615"/>
    <n v="2650.75"/>
    <x v="0"/>
    <x v="0"/>
    <s v="Returned"/>
  </r>
  <r>
    <s v="ORD1157"/>
    <s v="28-07-2025"/>
    <x v="7"/>
    <s v="Sneha"/>
    <s v="CUST197"/>
    <s v="Female"/>
    <n v="53"/>
    <x v="1"/>
    <s v="Mumbai"/>
    <x v="0"/>
    <s v="Tshirt"/>
    <s v="Tshirt"/>
    <x v="2"/>
    <s v="M"/>
    <s v="Red"/>
    <n v="2"/>
    <n v="1033"/>
    <n v="1213"/>
    <n v="20"/>
    <n v="1940.8000000000002"/>
    <n v="2066"/>
    <n v="-125.19999999999982"/>
    <x v="2"/>
    <x v="1"/>
    <s v="Returned"/>
  </r>
  <r>
    <s v="ORD1158"/>
    <s v="17-07-2025"/>
    <x v="7"/>
    <s v="Rahul"/>
    <s v="CUST124"/>
    <s v="Male"/>
    <n v="48"/>
    <x v="2"/>
    <s v="Delhi"/>
    <x v="1"/>
    <s v="Saree"/>
    <s v="Saree"/>
    <x v="1"/>
    <s v="S"/>
    <s v="White"/>
    <n v="4"/>
    <n v="1128"/>
    <n v="1393"/>
    <n v="15"/>
    <n v="4736.2"/>
    <n v="4512"/>
    <n v="224.19999999999982"/>
    <x v="0"/>
    <x v="0"/>
    <s v="Cancelled"/>
  </r>
  <r>
    <s v="ORD1159"/>
    <s v="07-01-2025"/>
    <x v="4"/>
    <s v="Rohit"/>
    <s v="CUST178"/>
    <s v="Male"/>
    <n v="25"/>
    <x v="1"/>
    <s v="Mumbai"/>
    <x v="1"/>
    <s v="Saree"/>
    <s v="Saree"/>
    <x v="4"/>
    <s v="M"/>
    <s v="Green"/>
    <n v="3"/>
    <n v="984"/>
    <n v="1396"/>
    <n v="10"/>
    <n v="3769.2000000000003"/>
    <n v="2952"/>
    <n v="817.20000000000027"/>
    <x v="1"/>
    <x v="0"/>
    <s v="Returned"/>
  </r>
  <r>
    <s v="ORD1160"/>
    <s v="23-07-2025"/>
    <x v="7"/>
    <s v="Pooja"/>
    <s v="CUST101"/>
    <s v="Male"/>
    <n v="19"/>
    <x v="3"/>
    <s v="Bengaluru"/>
    <x v="2"/>
    <s v="Jeans"/>
    <s v="Jeans"/>
    <x v="4"/>
    <s v="L"/>
    <s v="Blue"/>
    <n v="1"/>
    <n v="769"/>
    <n v="1520"/>
    <n v="5"/>
    <n v="1444"/>
    <n v="769"/>
    <n v="675"/>
    <x v="0"/>
    <x v="0"/>
    <s v="Cancelled"/>
  </r>
  <r>
    <s v="ORD1161"/>
    <s v="15-10-2025"/>
    <x v="0"/>
    <s v="Vikas"/>
    <s v="CUST137"/>
    <s v="Male"/>
    <n v="45"/>
    <x v="3"/>
    <s v="Bengaluru"/>
    <x v="1"/>
    <s v="Saree"/>
    <s v="Saree"/>
    <x v="4"/>
    <s v="S"/>
    <s v="Green"/>
    <n v="3"/>
    <n v="1439"/>
    <n v="2003"/>
    <n v="15"/>
    <n v="5107.6499999999996"/>
    <n v="4317"/>
    <n v="790.64999999999964"/>
    <x v="0"/>
    <x v="1"/>
    <s v="Cancelled"/>
  </r>
  <r>
    <s v="ORD1162"/>
    <s v="16-07-2025"/>
    <x v="7"/>
    <s v="Rohit"/>
    <s v="CUST186"/>
    <s v="Female"/>
    <n v="19"/>
    <x v="1"/>
    <s v="Mumbai"/>
    <x v="0"/>
    <s v="Tshirt"/>
    <s v="Tshirt"/>
    <x v="4"/>
    <s v="S"/>
    <s v="Red"/>
    <n v="2"/>
    <n v="1486"/>
    <n v="2060"/>
    <n v="20"/>
    <n v="3296"/>
    <n v="2972"/>
    <n v="324"/>
    <x v="2"/>
    <x v="1"/>
    <s v="Delivered"/>
  </r>
  <r>
    <s v="ORD1163"/>
    <s v="18-01-2025"/>
    <x v="4"/>
    <s v="Priya"/>
    <s v="CUST167"/>
    <s v="Male"/>
    <n v="45"/>
    <x v="3"/>
    <s v="Bengaluru"/>
    <x v="2"/>
    <s v="Jeans"/>
    <s v="Jeans"/>
    <x v="1"/>
    <s v="M"/>
    <s v="Black"/>
    <n v="3"/>
    <n v="1366"/>
    <n v="2142"/>
    <n v="15"/>
    <n v="5462.0999999999995"/>
    <n v="4098"/>
    <n v="1364.0999999999995"/>
    <x v="1"/>
    <x v="0"/>
    <s v="Returned"/>
  </r>
  <r>
    <s v="ORD1164"/>
    <s v="13-02-2025"/>
    <x v="8"/>
    <s v="Priya"/>
    <s v="CUST154"/>
    <s v="Female"/>
    <n v="23"/>
    <x v="4"/>
    <s v="Lucknow"/>
    <x v="2"/>
    <s v="Jeans"/>
    <s v="Jeans"/>
    <x v="0"/>
    <s v="S"/>
    <s v="Blue"/>
    <n v="1"/>
    <n v="432"/>
    <n v="921"/>
    <n v="0"/>
    <n v="921"/>
    <n v="432"/>
    <n v="489"/>
    <x v="0"/>
    <x v="0"/>
    <s v="Returned"/>
  </r>
  <r>
    <s v="ORD1165"/>
    <s v="23-08-2025"/>
    <x v="1"/>
    <s v="Vikas"/>
    <s v="CUST161"/>
    <s v="Female"/>
    <n v="52"/>
    <x v="1"/>
    <s v="Mumbai"/>
    <x v="0"/>
    <s v="Shorts"/>
    <s v="Shorts"/>
    <x v="0"/>
    <s v="S"/>
    <s v="Red"/>
    <n v="2"/>
    <n v="755"/>
    <n v="982"/>
    <n v="0"/>
    <n v="1964"/>
    <n v="1510"/>
    <n v="454"/>
    <x v="0"/>
    <x v="0"/>
    <s v="Cancelled"/>
  </r>
  <r>
    <s v="ORD1166"/>
    <s v="24-01-2025"/>
    <x v="4"/>
    <s v="Vikas"/>
    <s v="CUST172"/>
    <s v="Male"/>
    <n v="18"/>
    <x v="4"/>
    <s v="Lucknow"/>
    <x v="0"/>
    <s v="Tshirt"/>
    <s v="Tshirt"/>
    <x v="1"/>
    <s v="S"/>
    <s v="Blue"/>
    <n v="5"/>
    <n v="1027"/>
    <n v="1580"/>
    <n v="5"/>
    <n v="7505"/>
    <n v="5135"/>
    <n v="2370"/>
    <x v="1"/>
    <x v="1"/>
    <s v="Delivered"/>
  </r>
  <r>
    <s v="ORD1167"/>
    <s v="21-02-2025"/>
    <x v="8"/>
    <s v="Rahul"/>
    <s v="CUST184"/>
    <s v="Male"/>
    <n v="30"/>
    <x v="3"/>
    <s v="Bengaluru"/>
    <x v="1"/>
    <s v="Kurti"/>
    <s v="Kurti"/>
    <x v="0"/>
    <s v="L"/>
    <s v="Blue"/>
    <n v="4"/>
    <n v="932"/>
    <n v="1424"/>
    <n v="10"/>
    <n v="5126.4000000000005"/>
    <n v="3728"/>
    <n v="1398.4000000000005"/>
    <x v="2"/>
    <x v="1"/>
    <s v="Returned"/>
  </r>
  <r>
    <s v="ORD1168"/>
    <s v="05-10-2025"/>
    <x v="0"/>
    <s v="Vikas"/>
    <s v="CUST115"/>
    <s v="Male"/>
    <n v="38"/>
    <x v="3"/>
    <s v="Bengaluru"/>
    <x v="1"/>
    <s v="Saree"/>
    <s v="Saree"/>
    <x v="3"/>
    <s v="XL"/>
    <s v="White"/>
    <n v="2"/>
    <n v="648"/>
    <n v="802"/>
    <n v="10"/>
    <n v="1443.6000000000001"/>
    <n v="1296"/>
    <n v="147.60000000000014"/>
    <x v="1"/>
    <x v="1"/>
    <s v="Delivered"/>
  </r>
  <r>
    <s v="ORD1169"/>
    <s v="19-04-2025"/>
    <x v="11"/>
    <s v="Anjali"/>
    <s v="CUST135"/>
    <s v="Female"/>
    <n v="22"/>
    <x v="3"/>
    <s v="Bengaluru"/>
    <x v="0"/>
    <s v="Shorts"/>
    <s v="Shorts"/>
    <x v="1"/>
    <s v="M"/>
    <s v="Blue"/>
    <n v="3"/>
    <n v="1443"/>
    <n v="1614"/>
    <n v="20"/>
    <n v="3873.6000000000004"/>
    <n v="4329"/>
    <n v="-455.39999999999964"/>
    <x v="2"/>
    <x v="0"/>
    <s v="Returned"/>
  </r>
  <r>
    <s v="ORD1170"/>
    <s v="09-03-2025"/>
    <x v="6"/>
    <s v="Priya"/>
    <s v="CUST161"/>
    <s v="Male"/>
    <n v="24"/>
    <x v="2"/>
    <s v="Delhi"/>
    <x v="0"/>
    <s v="Shorts"/>
    <s v="Shorts"/>
    <x v="3"/>
    <s v="M"/>
    <s v="Red"/>
    <n v="3"/>
    <n v="1043"/>
    <n v="1527"/>
    <n v="20"/>
    <n v="3664.8"/>
    <n v="3129"/>
    <n v="535.80000000000018"/>
    <x v="2"/>
    <x v="0"/>
    <s v="Returned"/>
  </r>
  <r>
    <s v="ORD1171"/>
    <s v="14-12-2025"/>
    <x v="5"/>
    <s v="Neha"/>
    <s v="CUST178"/>
    <s v="Male"/>
    <n v="34"/>
    <x v="0"/>
    <s v="Jaipur"/>
    <x v="2"/>
    <s v="Jeans"/>
    <s v="Jeans"/>
    <x v="4"/>
    <s v="L"/>
    <s v="Red"/>
    <n v="3"/>
    <n v="600"/>
    <n v="1146"/>
    <n v="10"/>
    <n v="3094.2000000000003"/>
    <n v="1800"/>
    <n v="1294.2000000000003"/>
    <x v="2"/>
    <x v="1"/>
    <s v="Cancelled"/>
  </r>
  <r>
    <s v="ORD1172"/>
    <s v="13-01-2025"/>
    <x v="4"/>
    <s v="Neha"/>
    <s v="CUST149"/>
    <s v="Male"/>
    <n v="29"/>
    <x v="4"/>
    <s v="Lucknow"/>
    <x v="2"/>
    <s v="Shirts"/>
    <s v="Shirts"/>
    <x v="1"/>
    <s v="M"/>
    <s v="White"/>
    <n v="2"/>
    <n v="326"/>
    <n v="1102"/>
    <n v="15"/>
    <n v="1873.3999999999999"/>
    <n v="652"/>
    <n v="1221.3999999999999"/>
    <x v="1"/>
    <x v="0"/>
    <s v="Delivered"/>
  </r>
  <r>
    <s v="ORD1173"/>
    <s v="22-08-2025"/>
    <x v="1"/>
    <s v="Vikas"/>
    <s v="CUST138"/>
    <s v="Female"/>
    <n v="30"/>
    <x v="1"/>
    <s v="Mumbai"/>
    <x v="1"/>
    <s v="Kurti"/>
    <s v="Kurti"/>
    <x v="2"/>
    <s v="S"/>
    <s v="Blue"/>
    <n v="3"/>
    <n v="454"/>
    <n v="1232"/>
    <n v="15"/>
    <n v="3141.6"/>
    <n v="1362"/>
    <n v="1779.6"/>
    <x v="2"/>
    <x v="0"/>
    <s v="Delivered"/>
  </r>
  <r>
    <s v="ORD1174"/>
    <s v="07-10-2025"/>
    <x v="0"/>
    <s v="Neha"/>
    <s v="CUST140"/>
    <s v="Male"/>
    <n v="46"/>
    <x v="2"/>
    <s v="Delhi"/>
    <x v="0"/>
    <s v="Tshirt"/>
    <s v="Tshirt"/>
    <x v="3"/>
    <s v="XL"/>
    <s v="White"/>
    <n v="4"/>
    <n v="638"/>
    <n v="1069"/>
    <n v="20"/>
    <n v="3420.8"/>
    <n v="2552"/>
    <n v="868.80000000000018"/>
    <x v="2"/>
    <x v="1"/>
    <s v="Delivered"/>
  </r>
  <r>
    <s v="ORD1175"/>
    <s v="12-01-2025"/>
    <x v="4"/>
    <s v="Vikas"/>
    <s v="CUST110"/>
    <s v="Female"/>
    <n v="46"/>
    <x v="2"/>
    <s v="Delhi"/>
    <x v="2"/>
    <s v="Shirts"/>
    <s v="Shirts"/>
    <x v="1"/>
    <s v="L"/>
    <s v="White"/>
    <n v="2"/>
    <n v="1300"/>
    <n v="1850"/>
    <n v="0"/>
    <n v="3700"/>
    <n v="2600"/>
    <n v="1100"/>
    <x v="2"/>
    <x v="1"/>
    <s v="Returned"/>
  </r>
  <r>
    <s v="ORD1176"/>
    <s v="24-02-2025"/>
    <x v="8"/>
    <s v="Neha"/>
    <s v="CUST180"/>
    <s v="Male"/>
    <n v="19"/>
    <x v="0"/>
    <s v="Jaipur"/>
    <x v="0"/>
    <s v="Shorts"/>
    <s v="Shorts"/>
    <x v="4"/>
    <s v="XL"/>
    <s v="Black"/>
    <n v="2"/>
    <n v="671"/>
    <n v="1070"/>
    <n v="5"/>
    <n v="2033"/>
    <n v="1342"/>
    <n v="691"/>
    <x v="2"/>
    <x v="0"/>
    <s v="Returned"/>
  </r>
  <r>
    <s v="ORD1177"/>
    <s v="15-02-2025"/>
    <x v="8"/>
    <s v="Amit"/>
    <s v="CUST183"/>
    <s v="Female"/>
    <n v="54"/>
    <x v="1"/>
    <s v="Mumbai"/>
    <x v="0"/>
    <s v="Shorts"/>
    <s v="Shorts"/>
    <x v="0"/>
    <s v="L"/>
    <s v="White"/>
    <n v="1"/>
    <n v="612"/>
    <n v="1273"/>
    <n v="20"/>
    <n v="1018.4000000000001"/>
    <n v="612"/>
    <n v="406.40000000000009"/>
    <x v="0"/>
    <x v="0"/>
    <s v="Delivered"/>
  </r>
  <r>
    <s v="ORD1178"/>
    <s v="18-03-2025"/>
    <x v="6"/>
    <s v="Pooja"/>
    <s v="CUST116"/>
    <s v="Female"/>
    <n v="34"/>
    <x v="4"/>
    <s v="Lucknow"/>
    <x v="0"/>
    <s v="Tshirt"/>
    <s v="Tshirt"/>
    <x v="0"/>
    <s v="L"/>
    <s v="White"/>
    <n v="5"/>
    <n v="1331"/>
    <n v="1449"/>
    <n v="20"/>
    <n v="5796"/>
    <n v="6655"/>
    <n v="-859"/>
    <x v="2"/>
    <x v="1"/>
    <s v="Returned"/>
  </r>
  <r>
    <s v="ORD1179"/>
    <s v="07-08-2025"/>
    <x v="1"/>
    <s v="Rahul"/>
    <s v="CUST157"/>
    <s v="Male"/>
    <n v="35"/>
    <x v="2"/>
    <s v="Delhi"/>
    <x v="0"/>
    <s v="Tshirt"/>
    <s v="Tshirt"/>
    <x v="4"/>
    <s v="M"/>
    <s v="Green"/>
    <n v="5"/>
    <n v="562"/>
    <n v="1041"/>
    <n v="10"/>
    <n v="4684.5"/>
    <n v="2810"/>
    <n v="1874.5"/>
    <x v="0"/>
    <x v="1"/>
    <s v="Cancelled"/>
  </r>
  <r>
    <s v="ORD1180"/>
    <s v="08-04-2025"/>
    <x v="11"/>
    <s v="Vikas"/>
    <s v="CUST148"/>
    <s v="Male"/>
    <n v="32"/>
    <x v="0"/>
    <s v="Jaipur"/>
    <x v="0"/>
    <s v="Shorts"/>
    <s v="Shorts"/>
    <x v="2"/>
    <s v="XL"/>
    <s v="White"/>
    <n v="4"/>
    <n v="1375"/>
    <n v="1600"/>
    <n v="5"/>
    <n v="6080"/>
    <n v="5500"/>
    <n v="580"/>
    <x v="2"/>
    <x v="0"/>
    <s v="Delivered"/>
  </r>
  <r>
    <s v="ORD1181"/>
    <s v="18-06-2025"/>
    <x v="9"/>
    <s v="Rahul"/>
    <s v="CUST156"/>
    <s v="Female"/>
    <n v="42"/>
    <x v="0"/>
    <s v="Jaipur"/>
    <x v="1"/>
    <s v="Kurti"/>
    <s v="Kurti"/>
    <x v="4"/>
    <s v="M"/>
    <s v="Red"/>
    <n v="5"/>
    <n v="636"/>
    <n v="979"/>
    <n v="15"/>
    <n v="4160.75"/>
    <n v="3180"/>
    <n v="980.75"/>
    <x v="1"/>
    <x v="0"/>
    <s v="Returned"/>
  </r>
  <r>
    <s v="ORD1182"/>
    <s v="16-03-2025"/>
    <x v="6"/>
    <s v="Rahul"/>
    <s v="CUST155"/>
    <s v="Female"/>
    <n v="18"/>
    <x v="2"/>
    <s v="Delhi"/>
    <x v="0"/>
    <s v="Shorts"/>
    <s v="Shorts"/>
    <x v="3"/>
    <s v="L"/>
    <s v="White"/>
    <n v="4"/>
    <n v="931"/>
    <n v="1223"/>
    <n v="0"/>
    <n v="4892"/>
    <n v="3724"/>
    <n v="1168"/>
    <x v="1"/>
    <x v="0"/>
    <s v="Cancelled"/>
  </r>
  <r>
    <s v="ORD1183"/>
    <s v="13-06-2025"/>
    <x v="9"/>
    <s v="Rohit"/>
    <s v="CUST106"/>
    <s v="Female"/>
    <n v="38"/>
    <x v="2"/>
    <s v="Delhi"/>
    <x v="0"/>
    <s v="Tshirt"/>
    <s v="Tshirt"/>
    <x v="1"/>
    <s v="S"/>
    <s v="Green"/>
    <n v="5"/>
    <n v="1081"/>
    <n v="1330"/>
    <n v="20"/>
    <n v="5320"/>
    <n v="5405"/>
    <n v="-85"/>
    <x v="1"/>
    <x v="0"/>
    <s v="Returned"/>
  </r>
  <r>
    <s v="ORD1184"/>
    <s v="28-12-2025"/>
    <x v="5"/>
    <s v="Sneha"/>
    <s v="CUST135"/>
    <s v="Male"/>
    <n v="32"/>
    <x v="4"/>
    <s v="Lucknow"/>
    <x v="2"/>
    <s v="Jeans"/>
    <s v="Jeans"/>
    <x v="2"/>
    <s v="XL"/>
    <s v="White"/>
    <n v="1"/>
    <n v="1258"/>
    <n v="1541"/>
    <n v="10"/>
    <n v="1386.9"/>
    <n v="1258"/>
    <n v="128.90000000000009"/>
    <x v="2"/>
    <x v="1"/>
    <s v="Delivered"/>
  </r>
  <r>
    <s v="ORD1185"/>
    <s v="02-05-2025"/>
    <x v="3"/>
    <s v="Rahul"/>
    <s v="CUST129"/>
    <s v="Female"/>
    <n v="45"/>
    <x v="4"/>
    <s v="Lucknow"/>
    <x v="1"/>
    <s v="Saree"/>
    <s v="Saree"/>
    <x v="3"/>
    <s v="XL"/>
    <s v="Black"/>
    <n v="5"/>
    <n v="594"/>
    <n v="1267"/>
    <n v="20"/>
    <n v="5068"/>
    <n v="2970"/>
    <n v="2098"/>
    <x v="0"/>
    <x v="1"/>
    <s v="Delivered"/>
  </r>
  <r>
    <s v="ORD1186"/>
    <s v="10-05-2025"/>
    <x v="3"/>
    <s v="Sumit  "/>
    <s v="CUST153"/>
    <s v="Female"/>
    <n v="42"/>
    <x v="1"/>
    <s v="Mumbai"/>
    <x v="0"/>
    <s v="Tshirt"/>
    <s v="Tshirt"/>
    <x v="4"/>
    <s v="XL"/>
    <s v="Green"/>
    <n v="4"/>
    <n v="754"/>
    <n v="970"/>
    <n v="20"/>
    <n v="3104"/>
    <n v="3016"/>
    <n v="88"/>
    <x v="0"/>
    <x v="1"/>
    <s v="Delivered"/>
  </r>
  <r>
    <s v="ORD1187"/>
    <s v="01-08-2025"/>
    <x v="1"/>
    <s v="Sumit"/>
    <s v="CUST125"/>
    <s v="Male"/>
    <n v="49"/>
    <x v="2"/>
    <s v="Delhi"/>
    <x v="1"/>
    <s v="Saree"/>
    <s v="Saree"/>
    <x v="2"/>
    <s v="L"/>
    <s v="Black"/>
    <n v="5"/>
    <n v="584"/>
    <n v="1350"/>
    <n v="15"/>
    <n v="5737.5"/>
    <n v="2920"/>
    <n v="2817.5"/>
    <x v="0"/>
    <x v="1"/>
    <s v="Delivered"/>
  </r>
  <r>
    <s v="ORD1188"/>
    <s v="03-10-2025"/>
    <x v="0"/>
    <s v="Sneha"/>
    <s v="CUST157"/>
    <s v="Male"/>
    <n v="19"/>
    <x v="0"/>
    <s v="Jaipur"/>
    <x v="1"/>
    <s v="Saree"/>
    <s v="Saree"/>
    <x v="3"/>
    <s v="S"/>
    <s v="Red"/>
    <n v="2"/>
    <n v="1265"/>
    <n v="1702"/>
    <n v="5"/>
    <n v="3233.7999999999997"/>
    <n v="2530"/>
    <n v="703.79999999999973"/>
    <x v="2"/>
    <x v="0"/>
    <s v="Delivered"/>
  </r>
  <r>
    <s v="ORD1189"/>
    <s v="05-10-2025"/>
    <x v="0"/>
    <s v="Neha"/>
    <s v="CUST164"/>
    <s v="Female"/>
    <n v="52"/>
    <x v="3"/>
    <s v="Bengaluru"/>
    <x v="1"/>
    <s v="Saree"/>
    <s v="Saree"/>
    <x v="2"/>
    <s v="XL"/>
    <s v="Red"/>
    <n v="2"/>
    <n v="1284"/>
    <n v="1719"/>
    <n v="0"/>
    <n v="3438"/>
    <n v="2568"/>
    <n v="870"/>
    <x v="1"/>
    <x v="1"/>
    <s v="Delivered"/>
  </r>
  <r>
    <s v="ORD1190"/>
    <s v="21-11-2025"/>
    <x v="2"/>
    <s v="Sumit"/>
    <s v="CUST135"/>
    <s v="Male"/>
    <n v="35"/>
    <x v="2"/>
    <s v="Delhi"/>
    <x v="0"/>
    <s v="Tshirt"/>
    <s v="Tshirt"/>
    <x v="2"/>
    <s v="M"/>
    <s v="Black"/>
    <n v="3"/>
    <n v="663"/>
    <n v="1239"/>
    <n v="0"/>
    <n v="3717"/>
    <n v="1989"/>
    <n v="1728"/>
    <x v="0"/>
    <x v="0"/>
    <s v="Cancelled"/>
  </r>
  <r>
    <s v="ORD1191"/>
    <s v="01-12-2025"/>
    <x v="5"/>
    <s v="Neha"/>
    <s v="CUST101"/>
    <s v="Female"/>
    <n v="47"/>
    <x v="0"/>
    <s v="Jaipur"/>
    <x v="2"/>
    <s v="Shirts"/>
    <s v="Shirts"/>
    <x v="4"/>
    <s v="XL"/>
    <s v="Red"/>
    <n v="4"/>
    <n v="313"/>
    <n v="554"/>
    <n v="15"/>
    <n v="1883.6"/>
    <n v="1252"/>
    <n v="631.59999999999991"/>
    <x v="0"/>
    <x v="1"/>
    <s v="Delivered"/>
  </r>
  <r>
    <s v="ORD1192"/>
    <s v="12-07-2025"/>
    <x v="7"/>
    <s v="Sumit"/>
    <s v="CUST150"/>
    <s v="Female"/>
    <n v="35"/>
    <x v="3"/>
    <s v="Bengaluru"/>
    <x v="2"/>
    <s v="Shirts"/>
    <s v="Shirts"/>
    <x v="0"/>
    <s v="S"/>
    <s v="White"/>
    <n v="2"/>
    <n v="500"/>
    <n v="765"/>
    <n v="15"/>
    <n v="1300.5"/>
    <n v="1000"/>
    <n v="300.5"/>
    <x v="1"/>
    <x v="1"/>
    <s v="Delivered"/>
  </r>
  <r>
    <s v="ORD1193"/>
    <s v="25-05-2025"/>
    <x v="3"/>
    <s v="Rahul"/>
    <s v="CUST160"/>
    <s v="Female"/>
    <n v="36"/>
    <x v="1"/>
    <s v="Mumbai"/>
    <x v="0"/>
    <s v="Shorts"/>
    <s v="Shorts"/>
    <x v="0"/>
    <s v="XL"/>
    <s v="Green"/>
    <n v="5"/>
    <n v="590"/>
    <n v="1053"/>
    <n v="0"/>
    <n v="5265"/>
    <n v="2950"/>
    <n v="2315"/>
    <x v="1"/>
    <x v="0"/>
    <s v="Cancelled"/>
  </r>
  <r>
    <s v="ORD1194"/>
    <s v="08-04-2025"/>
    <x v="11"/>
    <s v="Sneha"/>
    <s v="CUST171"/>
    <s v="Male"/>
    <n v="33"/>
    <x v="1"/>
    <s v="Mumbai"/>
    <x v="0"/>
    <s v="Shorts"/>
    <s v="Shorts"/>
    <x v="3"/>
    <s v="S"/>
    <s v="Blue"/>
    <n v="4"/>
    <n v="1367"/>
    <n v="1567"/>
    <n v="15"/>
    <n v="5327.8"/>
    <n v="5468"/>
    <n v="-140.19999999999982"/>
    <x v="1"/>
    <x v="1"/>
    <s v="Returned"/>
  </r>
  <r>
    <s v="ORD1195"/>
    <s v="31-01-2025"/>
    <x v="4"/>
    <s v="Pooja"/>
    <s v="CUST194"/>
    <s v="Female"/>
    <n v="24"/>
    <x v="4"/>
    <s v="Lucknow"/>
    <x v="1"/>
    <s v="Kurti"/>
    <s v="Kurti"/>
    <x v="0"/>
    <s v="XL"/>
    <s v="White"/>
    <n v="2"/>
    <n v="620"/>
    <n v="1180"/>
    <n v="20"/>
    <n v="1888"/>
    <n v="1240"/>
    <n v="648"/>
    <x v="1"/>
    <x v="0"/>
    <s v="Cancelled"/>
  </r>
  <r>
    <s v="ORD1196"/>
    <s v="01-12-2025"/>
    <x v="5"/>
    <s v="Vikas"/>
    <s v="CUST112"/>
    <s v="Female"/>
    <n v="43"/>
    <x v="4"/>
    <s v="Lucknow"/>
    <x v="0"/>
    <s v="Tshirt"/>
    <s v="Tshirt"/>
    <x v="2"/>
    <s v="XL"/>
    <s v="Green"/>
    <n v="1"/>
    <n v="1328"/>
    <n v="1649"/>
    <n v="10"/>
    <n v="1484.1000000000001"/>
    <n v="1328"/>
    <n v="156.10000000000014"/>
    <x v="1"/>
    <x v="1"/>
    <s v="Returned"/>
  </r>
  <r>
    <s v="ORD1197"/>
    <s v="28-12-2025"/>
    <x v="5"/>
    <s v="Sumit"/>
    <s v="CUST129"/>
    <s v="Female"/>
    <n v="33"/>
    <x v="2"/>
    <s v="Delhi"/>
    <x v="2"/>
    <s v="Shirts"/>
    <s v="Shirts"/>
    <x v="2"/>
    <s v="S"/>
    <s v="Red"/>
    <n v="1"/>
    <n v="430"/>
    <n v="999"/>
    <n v="20"/>
    <n v="799.2"/>
    <n v="430"/>
    <n v="369.20000000000005"/>
    <x v="0"/>
    <x v="0"/>
    <s v="Delivered"/>
  </r>
  <r>
    <s v="ORD1198"/>
    <s v="04-05-2025"/>
    <x v="3"/>
    <s v="Anjali"/>
    <s v="CUST144"/>
    <s v="Male"/>
    <n v="38"/>
    <x v="2"/>
    <s v="Delhi"/>
    <x v="1"/>
    <s v="Kurti"/>
    <s v="Kurti"/>
    <x v="3"/>
    <s v="S"/>
    <s v="Blue"/>
    <n v="4"/>
    <n v="514"/>
    <n v="927"/>
    <n v="15"/>
    <n v="3151.7999999999997"/>
    <n v="2056"/>
    <n v="1095.7999999999997"/>
    <x v="0"/>
    <x v="1"/>
    <s v="Delivered"/>
  </r>
  <r>
    <s v="ORD1199"/>
    <s v="17-06-2025"/>
    <x v="9"/>
    <s v="Rahul"/>
    <s v="CUST159"/>
    <s v="Male"/>
    <n v="43"/>
    <x v="1"/>
    <s v="Mumbai"/>
    <x v="2"/>
    <s v="Shirts"/>
    <s v="Shirts"/>
    <x v="2"/>
    <s v="XL"/>
    <s v="Black"/>
    <n v="2"/>
    <n v="474"/>
    <n v="677"/>
    <n v="0"/>
    <n v="1354"/>
    <n v="948"/>
    <n v="406"/>
    <x v="0"/>
    <x v="1"/>
    <s v="Cancelled"/>
  </r>
  <r>
    <s v="ORD1200"/>
    <s v="22-05-2025"/>
    <x v="3"/>
    <s v="Pooja"/>
    <s v="CUST160"/>
    <s v="Male"/>
    <n v="21"/>
    <x v="1"/>
    <s v="Mumbai"/>
    <x v="0"/>
    <s v="Shorts"/>
    <s v="Shorts"/>
    <x v="1"/>
    <s v="M"/>
    <s v="Green"/>
    <n v="1"/>
    <n v="443"/>
    <n v="864"/>
    <n v="20"/>
    <n v="691.2"/>
    <n v="443"/>
    <n v="248.20000000000005"/>
    <x v="1"/>
    <x v="0"/>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6854D-B9FF-428A-A815-716F3D1F643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8" firstHeaderRow="1" firstDataRow="1" firstDataCol="1"/>
  <pivotFields count="25">
    <pivotField compact="0" outline="0" showAll="0" defaultSubtotal="0"/>
    <pivotField compact="0" outline="0" showAll="0" defaultSubtotal="0"/>
    <pivotField compact="0" outline="0" subtotalTop="0" showAll="0" defaultSubtotal="0">
      <items count="12">
        <item x="4"/>
        <item x="8"/>
        <item x="6"/>
        <item x="11"/>
        <item x="3"/>
        <item x="9"/>
        <item x="7"/>
        <item x="1"/>
        <item x="10"/>
        <item x="0"/>
        <item x="2"/>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2"/>
        <item x="3"/>
        <item x="1"/>
        <item x="0"/>
        <item x="4"/>
      </items>
    </pivotField>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axis="axisRow" compact="0" outline="0" showAll="0" defaultSubtotal="0">
      <items count="5">
        <item x="1"/>
        <item x="4"/>
        <item x="3"/>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3">
        <item x="2"/>
        <item x="0"/>
        <item x="1"/>
      </items>
    </pivotField>
    <pivotField compact="0" outline="0" showAll="0" defaultSubtotal="0">
      <items count="2">
        <item x="0"/>
        <item x="1"/>
      </items>
    </pivotField>
    <pivotField compact="0" outline="0" showAll="0" defaultSubtotal="0"/>
  </pivotFields>
  <rowFields count="1">
    <field x="12"/>
  </rowFields>
  <rowItems count="5">
    <i>
      <x/>
    </i>
    <i>
      <x v="1"/>
    </i>
    <i>
      <x v="2"/>
    </i>
    <i>
      <x v="3"/>
    </i>
    <i>
      <x v="4"/>
    </i>
  </rowItems>
  <colItems count="1">
    <i/>
  </colItems>
  <dataFields count="1">
    <dataField name="Sum of Sales" fld="19" baseField="0" baseItem="0" numFmtId="165"/>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4183D-B409-4EF0-8C30-78DA0415570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6" firstHeaderRow="1" firstDataRow="1" firstDataCol="1"/>
  <pivotFields count="25">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9"/>
  </rowFields>
  <rowItems count="3">
    <i>
      <x/>
    </i>
    <i>
      <x v="1"/>
    </i>
    <i>
      <x v="2"/>
    </i>
  </rowItems>
  <colItems count="1">
    <i/>
  </colItems>
  <dataFields count="1">
    <dataField name="Sum of Sales" fld="19"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0406C-CAD1-49F2-AC1D-25B46F553D6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25">
    <pivotField showAll="0"/>
    <pivotField showAll="0"/>
    <pivotField showAll="0"/>
    <pivotField showAll="0"/>
    <pivotField showAll="0"/>
    <pivotField showAll="0"/>
    <pivotField showAll="0"/>
    <pivotField axis="axisRow"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5">
    <i>
      <x/>
    </i>
    <i>
      <x v="1"/>
    </i>
    <i>
      <x v="2"/>
    </i>
    <i>
      <x v="3"/>
    </i>
    <i>
      <x v="4"/>
    </i>
  </rowItems>
  <colItems count="1">
    <i/>
  </colItems>
  <dataFields count="1">
    <dataField name="Sum of Sales" fld="19" baseField="0" baseItem="0" numFmtId="165"/>
  </dataFields>
  <formats count="2">
    <format dxfId="6">
      <pivotArea collapsedLevelsAreSubtotals="1" fieldPosition="0">
        <references count="1">
          <reference field="7" count="1">
            <x v="2"/>
          </reference>
        </references>
      </pivotArea>
    </format>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D2065-4B48-4A3D-852C-00AE8B522B1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2"/>
        <item x="0"/>
        <item x="1"/>
        <item t="default"/>
      </items>
    </pivotField>
    <pivotField showAll="0"/>
    <pivotField showAll="0"/>
  </pivotFields>
  <rowFields count="1">
    <field x="22"/>
  </rowFields>
  <rowItems count="3">
    <i>
      <x/>
    </i>
    <i>
      <x v="1"/>
    </i>
    <i>
      <x v="2"/>
    </i>
  </rowItems>
  <colItems count="1">
    <i/>
  </colItems>
  <dataFields count="1">
    <dataField name="Sum of Sales" fld="19" baseField="0" baseItem="0" numFmtId="165"/>
  </dataFields>
  <formats count="1">
    <format dxfId="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2" count="1" selected="0">
            <x v="0"/>
          </reference>
        </references>
      </pivotArea>
    </chartFormat>
    <chartFormat chart="5" format="10">
      <pivotArea type="data" outline="0" fieldPosition="0">
        <references count="2">
          <reference field="4294967294" count="1" selected="0">
            <x v="0"/>
          </reference>
          <reference field="22" count="1" selected="0">
            <x v="1"/>
          </reference>
        </references>
      </pivotArea>
    </chartFormat>
    <chartFormat chart="5" format="1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57FDBC-F368-4355-9ECC-56DE7273C9A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5"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s>
  <rowFields count="1">
    <field x="23"/>
  </rowFields>
  <rowItems count="2">
    <i>
      <x/>
    </i>
    <i>
      <x v="1"/>
    </i>
  </rowItems>
  <colItems count="1">
    <i/>
  </colItems>
  <dataFields count="1">
    <dataField name="Sum of Sales" fld="19" baseField="0" baseItem="0" numFmtId="165"/>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3" count="1" selected="0">
            <x v="0"/>
          </reference>
        </references>
      </pivotArea>
    </chartFormat>
    <chartFormat chart="8"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8EA68C-957E-443E-9DD5-2A51B6E10EF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5" firstHeaderRow="1" firstDataRow="1" firstDataCol="1"/>
  <pivotFields count="25">
    <pivotField showAll="0"/>
    <pivotField showAll="0"/>
    <pivotField axis="axisRow" showAll="0">
      <items count="13">
        <item x="4"/>
        <item x="8"/>
        <item x="6"/>
        <item x="11"/>
        <item x="3"/>
        <item x="9"/>
        <item x="7"/>
        <item x="1"/>
        <item x="10"/>
        <item x="0"/>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19"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C9936A-D8E4-4221-9A05-F2163B4C1A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5">
    <pivotField dataField="1" showAll="0"/>
    <pivotField showAll="0"/>
    <pivotField showAll="0">
      <items count="13">
        <item x="4"/>
        <item x="8"/>
        <item x="6"/>
        <item x="11"/>
        <item x="3"/>
        <item x="9"/>
        <item x="7"/>
        <item x="1"/>
        <item x="10"/>
        <item x="0"/>
        <item x="2"/>
        <item x="5"/>
        <item t="default"/>
      </items>
    </pivotField>
    <pivotField showAll="0"/>
    <pivotField showAll="0"/>
    <pivotField showAll="0"/>
    <pivotField showAll="0"/>
    <pivotField showAll="0">
      <items count="6">
        <item x="2"/>
        <item x="3"/>
        <item x="1"/>
        <item x="0"/>
        <item x="4"/>
        <item t="default"/>
      </items>
    </pivotField>
    <pivotField showAll="0"/>
    <pivotField showAll="0">
      <items count="4">
        <item x="0"/>
        <item x="2"/>
        <item x="1"/>
        <item t="default"/>
      </items>
    </pivotField>
    <pivotField showAll="0"/>
    <pivotField showAll="0"/>
    <pivotField showAll="0">
      <items count="6">
        <item x="1"/>
        <item x="4"/>
        <item x="3"/>
        <item x="2"/>
        <item x="0"/>
        <item t="default"/>
      </items>
    </pivotField>
    <pivotField showAll="0"/>
    <pivotField showAll="0"/>
    <pivotField showAll="0"/>
    <pivotField showAll="0"/>
    <pivotField showAll="0"/>
    <pivotField dataField="1" showAll="0"/>
    <pivotField dataField="1" showAll="0"/>
    <pivotField dataField="1" showAll="0"/>
    <pivotField dataField="1" showAll="0"/>
    <pivotField showAll="0">
      <items count="4">
        <item x="2"/>
        <item x="0"/>
        <item x="1"/>
        <item t="default"/>
      </items>
    </pivotField>
    <pivotField showAll="0">
      <items count="3">
        <item x="0"/>
        <item x="1"/>
        <item t="default"/>
      </items>
    </pivotField>
    <pivotField showAll="0"/>
  </pivotFields>
  <rowItems count="1">
    <i/>
  </rowItems>
  <colFields count="1">
    <field x="-2"/>
  </colFields>
  <colItems count="6">
    <i>
      <x/>
    </i>
    <i i="1">
      <x v="1"/>
    </i>
    <i i="2">
      <x v="2"/>
    </i>
    <i i="3">
      <x v="3"/>
    </i>
    <i i="4">
      <x v="4"/>
    </i>
    <i i="5">
      <x v="5"/>
    </i>
  </colItems>
  <dataFields count="6">
    <dataField name="Sum of Sales" fld="19" baseField="0" baseItem="4"/>
    <dataField name="Sum of Cost" fld="20" baseField="0" baseItem="0"/>
    <dataField name="Count of Order ID" fld="0" subtotal="count" baseField="0" baseItem="0"/>
    <dataField name="Sum of Profit" fld="21" baseField="0" baseItem="0"/>
    <dataField name="Average of Discount %" fld="18" subtotal="average" baseField="0" baseItem="4"/>
    <dataField name="Average of Sales2" fld="19"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E2FFC8B-FAE0-483A-904D-D4DD863645B9}" sourceName="State">
  <pivotTables>
    <pivotTable tabId="3" name="PivotTable1"/>
    <pivotTable tabId="7" name="PivotTable4"/>
    <pivotTable tabId="15" name="PivotTable9"/>
  </pivotTables>
  <data>
    <tabular pivotCacheId="1338675010">
      <items count="5">
        <i x="2" s="1"/>
        <i x="3"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9BFCA4-496E-4B94-8468-A3A6FFC91C5D}" sourceName="Category">
  <pivotTables>
    <pivotTable tabId="3" name="PivotTable1"/>
    <pivotTable tabId="6" name="PivotTable3"/>
    <pivotTable tabId="15" name="PivotTable9"/>
  </pivotTables>
  <data>
    <tabular pivotCacheId="13386750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F619FE5-4716-4D31-97AB-8CE8E4CA7B38}" sourceName="Brand">
  <pivotTables>
    <pivotTable tabId="3" name="PivotTable1"/>
    <pivotTable tabId="15" name="PivotTable9"/>
  </pivotTables>
  <data>
    <tabular pivotCacheId="1338675010">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64AA900-1EB6-4D72-B8CA-E0892B5EB72A}" sourceName="Payment Mode">
  <pivotTables>
    <pivotTable tabId="3" name="PivotTable1"/>
    <pivotTable tabId="8" name="PivotTable5"/>
    <pivotTable tabId="15" name="PivotTable9"/>
  </pivotTables>
  <data>
    <tabular pivotCacheId="133867501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097ADFE-4F6E-483D-9E7C-8D8D5CD21C0D}" sourceName="Sales Channel">
  <pivotTables>
    <pivotTable tabId="3" name="PivotTable1"/>
    <pivotTable tabId="9" name="PivotTable6"/>
    <pivotTable tabId="15" name="PivotTable9"/>
  </pivotTables>
  <data>
    <tabular pivotCacheId="133867501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EC363C-1AFB-4E31-96E4-39849196B275}" sourceName="Month">
  <pivotTables>
    <pivotTable tabId="3" name="PivotTable1"/>
    <pivotTable tabId="11" name="PivotTable8"/>
    <pivotTable tabId="15" name="PivotTable9"/>
  </pivotTables>
  <data>
    <tabular pivotCacheId="1338675010">
      <items count="12">
        <i x="4" s="1"/>
        <i x="8" s="1"/>
        <i x="6" s="1"/>
        <i x="11" s="1"/>
        <i x="3" s="1"/>
        <i x="9" s="1"/>
        <i x="7" s="1"/>
        <i x="1" s="1"/>
        <i x="10"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CE3F954-2858-4683-90B5-8C3BCAAB65AF}" cache="Slicer_State" caption="State" rowHeight="234950"/>
  <slicer name="Category 1" xr10:uid="{41B32141-C499-429C-9FE5-48686A67549A}" cache="Slicer_Category" caption="Category" rowHeight="234950"/>
  <slicer name="Brand 1" xr10:uid="{0233794D-B37C-4900-AB06-BA0DEC69802B}" cache="Slicer_Brand" caption="Brand" rowHeight="234950"/>
  <slicer name="Payment Mode 1" xr10:uid="{92486804-6E4C-44E7-81C0-59501194C6BC}" cache="Slicer_Payment_Mode" caption="Payment Mode" rowHeight="234950"/>
  <slicer name="Sales Channel 1" xr10:uid="{4F5A86F6-230D-4D4B-AF5D-CE8FE2524359}" cache="Slicer_Sales_Channel" caption="Sales Channel" rowHeight="234950"/>
  <slicer name="Month 1" xr10:uid="{46F99D5B-67ED-4106-B19A-AEE475F53751}"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1"/>
  <sheetViews>
    <sheetView workbookViewId="0">
      <selection activeCell="G11" sqref="G11"/>
    </sheetView>
  </sheetViews>
  <sheetFormatPr defaultRowHeight="14.4" x14ac:dyDescent="0.3"/>
  <cols>
    <col min="1" max="1" width="8.6640625" bestFit="1" customWidth="1"/>
    <col min="2" max="2" width="10.33203125" bestFit="1" customWidth="1"/>
    <col min="3" max="3" width="10.33203125" customWidth="1"/>
    <col min="4" max="4" width="14.33203125" bestFit="1" customWidth="1"/>
    <col min="5" max="5" width="11.109375" bestFit="1" customWidth="1"/>
    <col min="6" max="6" width="6.88671875" bestFit="1" customWidth="1"/>
    <col min="7" max="7" width="4" bestFit="1" customWidth="1"/>
    <col min="8" max="8" width="12.21875" bestFit="1" customWidth="1"/>
    <col min="9" max="9" width="9.109375" bestFit="1" customWidth="1"/>
    <col min="10" max="10" width="8.33203125" bestFit="1" customWidth="1"/>
    <col min="11" max="11" width="11.6640625" bestFit="1" customWidth="1"/>
    <col min="12" max="12" width="7.33203125" bestFit="1" customWidth="1"/>
    <col min="13" max="13" width="8.33203125" bestFit="1" customWidth="1"/>
    <col min="19" max="19" width="10" bestFit="1" customWidth="1"/>
    <col min="20" max="22" width="13.21875" customWidth="1"/>
    <col min="23" max="23" width="13.44140625" bestFit="1" customWidth="1"/>
    <col min="24" max="25" width="13.21875" customWidth="1"/>
  </cols>
  <sheetData>
    <row r="1" spans="1:25" x14ac:dyDescent="0.3">
      <c r="A1" s="1" t="s">
        <v>0</v>
      </c>
      <c r="B1" s="1" t="s">
        <v>1</v>
      </c>
      <c r="C1" s="1" t="s">
        <v>524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513</v>
      </c>
      <c r="U1" s="1" t="s">
        <v>514</v>
      </c>
      <c r="V1" s="1" t="s">
        <v>515</v>
      </c>
      <c r="W1" s="1" t="s">
        <v>18</v>
      </c>
      <c r="X1" s="1" t="s">
        <v>19</v>
      </c>
      <c r="Y1" s="1" t="s">
        <v>20</v>
      </c>
    </row>
    <row r="2" spans="1:25" x14ac:dyDescent="0.3">
      <c r="A2" s="1" t="s">
        <v>21</v>
      </c>
      <c r="B2" s="1" t="s">
        <v>22</v>
      </c>
      <c r="C2" s="1" t="str">
        <f>TEXT(B2, "MMMM")</f>
        <v>October</v>
      </c>
      <c r="D2" s="1" t="s">
        <v>23</v>
      </c>
      <c r="E2" s="1" t="s">
        <v>24</v>
      </c>
      <c r="F2" s="1" t="s">
        <v>25</v>
      </c>
      <c r="G2" s="1">
        <v>54</v>
      </c>
      <c r="H2" s="1" t="s">
        <v>26</v>
      </c>
      <c r="I2" s="1" t="s">
        <v>27</v>
      </c>
      <c r="J2" s="1" t="s">
        <v>28</v>
      </c>
      <c r="K2" s="1" t="s">
        <v>29</v>
      </c>
      <c r="L2" s="1" t="s">
        <v>29</v>
      </c>
      <c r="M2" s="1" t="s">
        <v>30</v>
      </c>
      <c r="N2" s="1" t="s">
        <v>31</v>
      </c>
      <c r="O2" s="1" t="s">
        <v>32</v>
      </c>
      <c r="P2" s="1">
        <v>4</v>
      </c>
      <c r="Q2" s="1">
        <v>1092</v>
      </c>
      <c r="R2" s="1">
        <v>1672</v>
      </c>
      <c r="S2" s="1">
        <v>5</v>
      </c>
      <c r="T2" s="1">
        <f>P2*R2*(1-S2/100)</f>
        <v>6353.5999999999995</v>
      </c>
      <c r="U2" s="1">
        <f>P2*Q2</f>
        <v>4368</v>
      </c>
      <c r="V2" s="1">
        <f>T2-U2</f>
        <v>1985.5999999999995</v>
      </c>
      <c r="W2" s="1" t="s">
        <v>33</v>
      </c>
      <c r="X2" s="1" t="s">
        <v>34</v>
      </c>
      <c r="Y2" s="1" t="s">
        <v>35</v>
      </c>
    </row>
    <row r="3" spans="1:25" x14ac:dyDescent="0.3">
      <c r="A3" s="1" t="s">
        <v>36</v>
      </c>
      <c r="B3" s="1" t="s">
        <v>37</v>
      </c>
      <c r="C3" s="1" t="str">
        <f t="shared" ref="C3:C66" si="0">TEXT(B3, "MMMM")</f>
        <v>August</v>
      </c>
      <c r="D3" s="1" t="s">
        <v>38</v>
      </c>
      <c r="E3" s="1" t="s">
        <v>39</v>
      </c>
      <c r="F3" s="1" t="s">
        <v>25</v>
      </c>
      <c r="G3" s="1">
        <v>26</v>
      </c>
      <c r="H3" s="1" t="s">
        <v>40</v>
      </c>
      <c r="I3" s="1" t="s">
        <v>41</v>
      </c>
      <c r="J3" s="1" t="s">
        <v>28</v>
      </c>
      <c r="K3" s="1" t="s">
        <v>29</v>
      </c>
      <c r="L3" s="1" t="s">
        <v>29</v>
      </c>
      <c r="M3" s="1" t="s">
        <v>30</v>
      </c>
      <c r="N3" s="1" t="s">
        <v>42</v>
      </c>
      <c r="O3" s="1" t="s">
        <v>43</v>
      </c>
      <c r="P3" s="1">
        <v>1</v>
      </c>
      <c r="Q3" s="1">
        <v>699</v>
      </c>
      <c r="R3" s="1">
        <v>879</v>
      </c>
      <c r="S3" s="1">
        <v>0</v>
      </c>
      <c r="T3" s="1">
        <f t="shared" ref="T3:T66" si="1">P3*R3*(1-S3/100)</f>
        <v>879</v>
      </c>
      <c r="U3" s="1">
        <f t="shared" ref="U3:U66" si="2">P3*Q3</f>
        <v>699</v>
      </c>
      <c r="V3" s="1">
        <f t="shared" ref="V3:V66" si="3">T3-U3</f>
        <v>180</v>
      </c>
      <c r="W3" s="1" t="s">
        <v>44</v>
      </c>
      <c r="X3" s="1" t="s">
        <v>45</v>
      </c>
      <c r="Y3" s="1" t="s">
        <v>46</v>
      </c>
    </row>
    <row r="4" spans="1:25" x14ac:dyDescent="0.3">
      <c r="A4" s="1" t="s">
        <v>47</v>
      </c>
      <c r="B4" s="1" t="s">
        <v>48</v>
      </c>
      <c r="C4" s="1" t="str">
        <f t="shared" si="0"/>
        <v>November</v>
      </c>
      <c r="D4" s="1" t="s">
        <v>49</v>
      </c>
      <c r="E4" s="1" t="s">
        <v>50</v>
      </c>
      <c r="F4" s="1" t="s">
        <v>51</v>
      </c>
      <c r="G4" s="1">
        <v>22</v>
      </c>
      <c r="H4" s="1" t="s">
        <v>52</v>
      </c>
      <c r="I4" s="1" t="s">
        <v>52</v>
      </c>
      <c r="J4" s="1" t="s">
        <v>53</v>
      </c>
      <c r="K4" s="1" t="s">
        <v>54</v>
      </c>
      <c r="L4" s="1" t="s">
        <v>54</v>
      </c>
      <c r="M4" s="1" t="s">
        <v>55</v>
      </c>
      <c r="N4" s="1" t="s">
        <v>56</v>
      </c>
      <c r="O4" s="1" t="s">
        <v>57</v>
      </c>
      <c r="P4" s="1">
        <v>3</v>
      </c>
      <c r="Q4" s="1">
        <v>1244</v>
      </c>
      <c r="R4" s="1">
        <v>1730</v>
      </c>
      <c r="S4" s="1">
        <v>15</v>
      </c>
      <c r="T4" s="1">
        <f t="shared" si="1"/>
        <v>4411.5</v>
      </c>
      <c r="U4" s="1">
        <f t="shared" si="2"/>
        <v>3732</v>
      </c>
      <c r="V4" s="1">
        <f t="shared" si="3"/>
        <v>679.5</v>
      </c>
      <c r="W4" s="1" t="s">
        <v>33</v>
      </c>
      <c r="X4" s="1" t="s">
        <v>34</v>
      </c>
      <c r="Y4" s="1" t="s">
        <v>35</v>
      </c>
    </row>
    <row r="5" spans="1:25" x14ac:dyDescent="0.3">
      <c r="A5" s="1" t="s">
        <v>58</v>
      </c>
      <c r="B5" s="1" t="s">
        <v>59</v>
      </c>
      <c r="C5" s="1" t="str">
        <f t="shared" si="0"/>
        <v>May</v>
      </c>
      <c r="D5" s="1" t="s">
        <v>60</v>
      </c>
      <c r="E5" s="1" t="s">
        <v>61</v>
      </c>
      <c r="F5" s="1" t="s">
        <v>51</v>
      </c>
      <c r="G5" s="1">
        <v>42</v>
      </c>
      <c r="H5" s="1" t="s">
        <v>62</v>
      </c>
      <c r="I5" s="1" t="s">
        <v>63</v>
      </c>
      <c r="J5" s="1" t="s">
        <v>53</v>
      </c>
      <c r="K5" s="1" t="s">
        <v>64</v>
      </c>
      <c r="L5" s="1" t="s">
        <v>64</v>
      </c>
      <c r="M5" s="1" t="s">
        <v>65</v>
      </c>
      <c r="N5" s="1" t="s">
        <v>56</v>
      </c>
      <c r="O5" s="1" t="s">
        <v>43</v>
      </c>
      <c r="P5" s="1">
        <v>3</v>
      </c>
      <c r="Q5" s="1">
        <v>439</v>
      </c>
      <c r="R5" s="1">
        <v>862</v>
      </c>
      <c r="S5" s="1">
        <v>15</v>
      </c>
      <c r="T5" s="1">
        <f t="shared" si="1"/>
        <v>2198.1</v>
      </c>
      <c r="U5" s="1">
        <f t="shared" si="2"/>
        <v>1317</v>
      </c>
      <c r="V5" s="1">
        <f t="shared" si="3"/>
        <v>881.09999999999991</v>
      </c>
      <c r="W5" s="1" t="s">
        <v>66</v>
      </c>
      <c r="X5" s="1" t="s">
        <v>34</v>
      </c>
      <c r="Y5" s="1" t="s">
        <v>35</v>
      </c>
    </row>
    <row r="6" spans="1:25" x14ac:dyDescent="0.3">
      <c r="A6" s="1" t="s">
        <v>67</v>
      </c>
      <c r="B6" s="1" t="s">
        <v>22</v>
      </c>
      <c r="C6" s="1" t="str">
        <f t="shared" si="0"/>
        <v>October</v>
      </c>
      <c r="D6" s="1" t="s">
        <v>68</v>
      </c>
      <c r="E6" s="1" t="s">
        <v>69</v>
      </c>
      <c r="F6" s="1" t="s">
        <v>25</v>
      </c>
      <c r="G6" s="1">
        <v>39</v>
      </c>
      <c r="H6" s="1" t="s">
        <v>52</v>
      </c>
      <c r="I6" s="1" t="s">
        <v>52</v>
      </c>
      <c r="J6" s="1" t="s">
        <v>28</v>
      </c>
      <c r="K6" s="1" t="s">
        <v>29</v>
      </c>
      <c r="L6" s="1" t="s">
        <v>29</v>
      </c>
      <c r="M6" s="1" t="s">
        <v>55</v>
      </c>
      <c r="N6" s="1" t="s">
        <v>70</v>
      </c>
      <c r="O6" s="1" t="s">
        <v>71</v>
      </c>
      <c r="P6" s="1">
        <v>2</v>
      </c>
      <c r="Q6" s="1">
        <v>1290</v>
      </c>
      <c r="R6" s="1">
        <v>2012</v>
      </c>
      <c r="S6" s="1">
        <v>5</v>
      </c>
      <c r="T6" s="1">
        <f t="shared" si="1"/>
        <v>3822.7999999999997</v>
      </c>
      <c r="U6" s="1">
        <f t="shared" si="2"/>
        <v>2580</v>
      </c>
      <c r="V6" s="1">
        <f t="shared" si="3"/>
        <v>1242.7999999999997</v>
      </c>
      <c r="W6" s="1" t="s">
        <v>33</v>
      </c>
      <c r="X6" s="1" t="s">
        <v>34</v>
      </c>
      <c r="Y6" s="1" t="s">
        <v>35</v>
      </c>
    </row>
    <row r="7" spans="1:25" x14ac:dyDescent="0.3">
      <c r="A7" s="1" t="s">
        <v>72</v>
      </c>
      <c r="B7" s="1" t="s">
        <v>73</v>
      </c>
      <c r="C7" s="1" t="str">
        <f t="shared" si="0"/>
        <v>January</v>
      </c>
      <c r="D7" s="1" t="s">
        <v>74</v>
      </c>
      <c r="E7" s="1" t="s">
        <v>75</v>
      </c>
      <c r="F7" s="1" t="s">
        <v>25</v>
      </c>
      <c r="G7" s="1">
        <v>49</v>
      </c>
      <c r="H7" s="1" t="s">
        <v>62</v>
      </c>
      <c r="I7" s="1" t="s">
        <v>63</v>
      </c>
      <c r="J7" s="1" t="s">
        <v>53</v>
      </c>
      <c r="K7" s="1" t="s">
        <v>64</v>
      </c>
      <c r="L7" s="1" t="s">
        <v>64</v>
      </c>
      <c r="M7" s="1" t="s">
        <v>55</v>
      </c>
      <c r="N7" s="1" t="s">
        <v>31</v>
      </c>
      <c r="O7" s="1" t="s">
        <v>71</v>
      </c>
      <c r="P7" s="1">
        <v>4</v>
      </c>
      <c r="Q7" s="1">
        <v>417</v>
      </c>
      <c r="R7" s="1">
        <v>653</v>
      </c>
      <c r="S7" s="1">
        <v>10</v>
      </c>
      <c r="T7" s="1">
        <f t="shared" si="1"/>
        <v>2350.8000000000002</v>
      </c>
      <c r="U7" s="1">
        <f t="shared" si="2"/>
        <v>1668</v>
      </c>
      <c r="V7" s="1">
        <f t="shared" si="3"/>
        <v>682.80000000000018</v>
      </c>
      <c r="W7" s="1" t="s">
        <v>44</v>
      </c>
      <c r="X7" s="1" t="s">
        <v>45</v>
      </c>
      <c r="Y7" s="1" t="s">
        <v>46</v>
      </c>
    </row>
    <row r="8" spans="1:25" x14ac:dyDescent="0.3">
      <c r="A8" s="1" t="s">
        <v>76</v>
      </c>
      <c r="B8" s="1" t="s">
        <v>77</v>
      </c>
      <c r="C8" s="1" t="str">
        <f t="shared" si="0"/>
        <v>May</v>
      </c>
      <c r="D8" s="1" t="s">
        <v>78</v>
      </c>
      <c r="E8" s="1" t="s">
        <v>79</v>
      </c>
      <c r="F8" s="1" t="s">
        <v>51</v>
      </c>
      <c r="G8" s="1">
        <v>39</v>
      </c>
      <c r="H8" s="1" t="s">
        <v>52</v>
      </c>
      <c r="I8" s="1" t="s">
        <v>52</v>
      </c>
      <c r="J8" s="1" t="s">
        <v>80</v>
      </c>
      <c r="K8" s="1" t="s">
        <v>81</v>
      </c>
      <c r="L8" s="1" t="s">
        <v>81</v>
      </c>
      <c r="M8" s="1" t="s">
        <v>82</v>
      </c>
      <c r="N8" s="1" t="s">
        <v>56</v>
      </c>
      <c r="O8" s="1" t="s">
        <v>43</v>
      </c>
      <c r="P8" s="1">
        <v>2</v>
      </c>
      <c r="Q8" s="1">
        <v>640</v>
      </c>
      <c r="R8" s="1">
        <v>1133</v>
      </c>
      <c r="S8" s="1">
        <v>15</v>
      </c>
      <c r="T8" s="1">
        <f t="shared" si="1"/>
        <v>1926.1</v>
      </c>
      <c r="U8" s="1">
        <f t="shared" si="2"/>
        <v>1280</v>
      </c>
      <c r="V8" s="1">
        <f t="shared" si="3"/>
        <v>646.09999999999991</v>
      </c>
      <c r="W8" s="1" t="s">
        <v>44</v>
      </c>
      <c r="X8" s="1" t="s">
        <v>34</v>
      </c>
      <c r="Y8" s="1" t="s">
        <v>35</v>
      </c>
    </row>
    <row r="9" spans="1:25" x14ac:dyDescent="0.3">
      <c r="A9" s="1" t="s">
        <v>83</v>
      </c>
      <c r="B9" s="1" t="s">
        <v>84</v>
      </c>
      <c r="C9" s="1" t="str">
        <f t="shared" si="0"/>
        <v>May</v>
      </c>
      <c r="D9" s="1" t="s">
        <v>85</v>
      </c>
      <c r="E9" s="1" t="s">
        <v>79</v>
      </c>
      <c r="F9" s="1" t="s">
        <v>25</v>
      </c>
      <c r="G9" s="1">
        <v>24</v>
      </c>
      <c r="H9" s="1" t="s">
        <v>26</v>
      </c>
      <c r="I9" s="1" t="s">
        <v>27</v>
      </c>
      <c r="J9" s="1" t="s">
        <v>80</v>
      </c>
      <c r="K9" s="1" t="s">
        <v>81</v>
      </c>
      <c r="L9" s="1" t="s">
        <v>81</v>
      </c>
      <c r="M9" s="1" t="s">
        <v>86</v>
      </c>
      <c r="N9" s="1" t="s">
        <v>56</v>
      </c>
      <c r="O9" s="1" t="s">
        <v>32</v>
      </c>
      <c r="P9" s="1">
        <v>3</v>
      </c>
      <c r="Q9" s="1">
        <v>1483</v>
      </c>
      <c r="R9" s="1">
        <v>1766</v>
      </c>
      <c r="S9" s="1">
        <v>0</v>
      </c>
      <c r="T9" s="1">
        <f t="shared" si="1"/>
        <v>5298</v>
      </c>
      <c r="U9" s="1">
        <f t="shared" si="2"/>
        <v>4449</v>
      </c>
      <c r="V9" s="1">
        <f t="shared" si="3"/>
        <v>849</v>
      </c>
      <c r="W9" s="1" t="s">
        <v>44</v>
      </c>
      <c r="X9" s="1" t="s">
        <v>34</v>
      </c>
      <c r="Y9" s="1" t="s">
        <v>35</v>
      </c>
    </row>
    <row r="10" spans="1:25" x14ac:dyDescent="0.3">
      <c r="A10" s="1" t="s">
        <v>87</v>
      </c>
      <c r="B10" s="1" t="s">
        <v>88</v>
      </c>
      <c r="C10" s="1" t="str">
        <f t="shared" si="0"/>
        <v>December</v>
      </c>
      <c r="D10" s="1" t="s">
        <v>89</v>
      </c>
      <c r="E10" s="1" t="s">
        <v>90</v>
      </c>
      <c r="F10" s="1" t="s">
        <v>51</v>
      </c>
      <c r="G10" s="1">
        <v>45</v>
      </c>
      <c r="H10" s="1" t="s">
        <v>91</v>
      </c>
      <c r="I10" s="1" t="s">
        <v>92</v>
      </c>
      <c r="J10" s="1" t="s">
        <v>28</v>
      </c>
      <c r="K10" s="1" t="s">
        <v>29</v>
      </c>
      <c r="L10" s="1" t="s">
        <v>29</v>
      </c>
      <c r="M10" s="1" t="s">
        <v>86</v>
      </c>
      <c r="N10" s="1" t="s">
        <v>31</v>
      </c>
      <c r="O10" s="1" t="s">
        <v>71</v>
      </c>
      <c r="P10" s="1">
        <v>2</v>
      </c>
      <c r="Q10" s="1">
        <v>814</v>
      </c>
      <c r="R10" s="1">
        <v>1422</v>
      </c>
      <c r="S10" s="1">
        <v>10</v>
      </c>
      <c r="T10" s="1">
        <f t="shared" si="1"/>
        <v>2559.6</v>
      </c>
      <c r="U10" s="1">
        <f t="shared" si="2"/>
        <v>1628</v>
      </c>
      <c r="V10" s="1">
        <f t="shared" si="3"/>
        <v>931.59999999999991</v>
      </c>
      <c r="W10" s="1" t="s">
        <v>66</v>
      </c>
      <c r="X10" s="1" t="s">
        <v>45</v>
      </c>
      <c r="Y10" s="1" t="s">
        <v>35</v>
      </c>
    </row>
    <row r="11" spans="1:25" x14ac:dyDescent="0.3">
      <c r="A11" s="1" t="s">
        <v>93</v>
      </c>
      <c r="B11" s="1" t="s">
        <v>94</v>
      </c>
      <c r="C11" s="1" t="str">
        <f t="shared" si="0"/>
        <v>March</v>
      </c>
      <c r="D11" s="1" t="s">
        <v>74</v>
      </c>
      <c r="E11" s="1" t="s">
        <v>95</v>
      </c>
      <c r="F11" s="1" t="s">
        <v>25</v>
      </c>
      <c r="G11" s="1">
        <v>36</v>
      </c>
      <c r="H11" s="1" t="s">
        <v>52</v>
      </c>
      <c r="I11" s="1" t="s">
        <v>52</v>
      </c>
      <c r="J11" s="1" t="s">
        <v>28</v>
      </c>
      <c r="K11" s="1" t="s">
        <v>29</v>
      </c>
      <c r="L11" s="1" t="s">
        <v>29</v>
      </c>
      <c r="M11" s="1" t="s">
        <v>65</v>
      </c>
      <c r="N11" s="1" t="s">
        <v>31</v>
      </c>
      <c r="O11" s="1" t="s">
        <v>71</v>
      </c>
      <c r="P11" s="1">
        <v>1</v>
      </c>
      <c r="Q11" s="1">
        <v>1358</v>
      </c>
      <c r="R11" s="1">
        <v>2118</v>
      </c>
      <c r="S11" s="1">
        <v>10</v>
      </c>
      <c r="T11" s="1">
        <f t="shared" si="1"/>
        <v>1906.2</v>
      </c>
      <c r="U11" s="1">
        <f t="shared" si="2"/>
        <v>1358</v>
      </c>
      <c r="V11" s="1">
        <f t="shared" si="3"/>
        <v>548.20000000000005</v>
      </c>
      <c r="W11" s="1" t="s">
        <v>44</v>
      </c>
      <c r="X11" s="1" t="s">
        <v>34</v>
      </c>
      <c r="Y11" s="1" t="s">
        <v>46</v>
      </c>
    </row>
    <row r="12" spans="1:25" x14ac:dyDescent="0.3">
      <c r="A12" s="1" t="s">
        <v>96</v>
      </c>
      <c r="B12" s="1" t="s">
        <v>97</v>
      </c>
      <c r="C12" s="1" t="str">
        <f t="shared" si="0"/>
        <v>November</v>
      </c>
      <c r="D12" s="1" t="s">
        <v>98</v>
      </c>
      <c r="E12" s="1" t="s">
        <v>99</v>
      </c>
      <c r="F12" s="1" t="s">
        <v>25</v>
      </c>
      <c r="G12" s="1">
        <v>26</v>
      </c>
      <c r="H12" s="1" t="s">
        <v>26</v>
      </c>
      <c r="I12" s="1" t="s">
        <v>27</v>
      </c>
      <c r="J12" s="1" t="s">
        <v>28</v>
      </c>
      <c r="K12" s="1" t="s">
        <v>100</v>
      </c>
      <c r="L12" s="1" t="s">
        <v>100</v>
      </c>
      <c r="M12" s="1" t="s">
        <v>55</v>
      </c>
      <c r="N12" s="1" t="s">
        <v>56</v>
      </c>
      <c r="O12" s="1" t="s">
        <v>32</v>
      </c>
      <c r="P12" s="1">
        <v>4</v>
      </c>
      <c r="Q12" s="1">
        <v>357</v>
      </c>
      <c r="R12" s="1">
        <v>533</v>
      </c>
      <c r="S12" s="1">
        <v>15</v>
      </c>
      <c r="T12" s="1">
        <f t="shared" si="1"/>
        <v>1812.2</v>
      </c>
      <c r="U12" s="1">
        <f t="shared" si="2"/>
        <v>1428</v>
      </c>
      <c r="V12" s="1">
        <f t="shared" si="3"/>
        <v>384.20000000000005</v>
      </c>
      <c r="W12" s="1" t="s">
        <v>44</v>
      </c>
      <c r="X12" s="1" t="s">
        <v>34</v>
      </c>
      <c r="Y12" s="1" t="s">
        <v>46</v>
      </c>
    </row>
    <row r="13" spans="1:25" x14ac:dyDescent="0.3">
      <c r="A13" s="1" t="s">
        <v>101</v>
      </c>
      <c r="B13" s="1" t="s">
        <v>102</v>
      </c>
      <c r="C13" s="1" t="str">
        <f t="shared" si="0"/>
        <v>October</v>
      </c>
      <c r="D13" s="1" t="s">
        <v>85</v>
      </c>
      <c r="E13" s="1" t="s">
        <v>103</v>
      </c>
      <c r="F13" s="1" t="s">
        <v>51</v>
      </c>
      <c r="G13" s="1">
        <v>23</v>
      </c>
      <c r="H13" s="1" t="s">
        <v>91</v>
      </c>
      <c r="I13" s="1" t="s">
        <v>92</v>
      </c>
      <c r="J13" s="1" t="s">
        <v>28</v>
      </c>
      <c r="K13" s="1" t="s">
        <v>100</v>
      </c>
      <c r="L13" s="1" t="s">
        <v>100</v>
      </c>
      <c r="M13" s="1" t="s">
        <v>82</v>
      </c>
      <c r="N13" s="1" t="s">
        <v>31</v>
      </c>
      <c r="O13" s="1" t="s">
        <v>71</v>
      </c>
      <c r="P13" s="1">
        <v>5</v>
      </c>
      <c r="Q13" s="1">
        <v>1292</v>
      </c>
      <c r="R13" s="1">
        <v>1961</v>
      </c>
      <c r="S13" s="1">
        <v>5</v>
      </c>
      <c r="T13" s="1">
        <f t="shared" si="1"/>
        <v>9314.75</v>
      </c>
      <c r="U13" s="1">
        <f t="shared" si="2"/>
        <v>6460</v>
      </c>
      <c r="V13" s="1">
        <f t="shared" si="3"/>
        <v>2854.75</v>
      </c>
      <c r="W13" s="1" t="s">
        <v>66</v>
      </c>
      <c r="X13" s="1" t="s">
        <v>34</v>
      </c>
      <c r="Y13" s="1" t="s">
        <v>35</v>
      </c>
    </row>
    <row r="14" spans="1:25" x14ac:dyDescent="0.3">
      <c r="A14" s="1" t="s">
        <v>104</v>
      </c>
      <c r="B14" s="1" t="s">
        <v>105</v>
      </c>
      <c r="C14" s="1" t="str">
        <f t="shared" si="0"/>
        <v>January</v>
      </c>
      <c r="D14" s="1" t="s">
        <v>89</v>
      </c>
      <c r="E14" s="1" t="s">
        <v>106</v>
      </c>
      <c r="F14" s="1" t="s">
        <v>51</v>
      </c>
      <c r="G14" s="1">
        <v>55</v>
      </c>
      <c r="H14" s="1" t="s">
        <v>26</v>
      </c>
      <c r="I14" s="1" t="s">
        <v>27</v>
      </c>
      <c r="J14" s="1" t="s">
        <v>53</v>
      </c>
      <c r="K14" s="1" t="s">
        <v>54</v>
      </c>
      <c r="L14" s="1" t="s">
        <v>54</v>
      </c>
      <c r="M14" s="1" t="s">
        <v>86</v>
      </c>
      <c r="N14" s="1" t="s">
        <v>31</v>
      </c>
      <c r="O14" s="1" t="s">
        <v>43</v>
      </c>
      <c r="P14" s="1">
        <v>5</v>
      </c>
      <c r="Q14" s="1">
        <v>806</v>
      </c>
      <c r="R14" s="1">
        <v>1209</v>
      </c>
      <c r="S14" s="1">
        <v>5</v>
      </c>
      <c r="T14" s="1">
        <f t="shared" si="1"/>
        <v>5742.75</v>
      </c>
      <c r="U14" s="1">
        <f t="shared" si="2"/>
        <v>4030</v>
      </c>
      <c r="V14" s="1">
        <f t="shared" si="3"/>
        <v>1712.75</v>
      </c>
      <c r="W14" s="1" t="s">
        <v>33</v>
      </c>
      <c r="X14" s="1" t="s">
        <v>45</v>
      </c>
      <c r="Y14" s="1" t="s">
        <v>46</v>
      </c>
    </row>
    <row r="15" spans="1:25" x14ac:dyDescent="0.3">
      <c r="A15" s="1" t="s">
        <v>107</v>
      </c>
      <c r="B15" s="1" t="s">
        <v>108</v>
      </c>
      <c r="C15" s="1" t="str">
        <f t="shared" si="0"/>
        <v>October</v>
      </c>
      <c r="D15" s="1" t="s">
        <v>74</v>
      </c>
      <c r="E15" s="1" t="s">
        <v>109</v>
      </c>
      <c r="F15" s="1" t="s">
        <v>51</v>
      </c>
      <c r="G15" s="1">
        <v>18</v>
      </c>
      <c r="H15" s="1" t="s">
        <v>52</v>
      </c>
      <c r="I15" s="1" t="s">
        <v>52</v>
      </c>
      <c r="J15" s="1" t="s">
        <v>80</v>
      </c>
      <c r="K15" s="1" t="s">
        <v>81</v>
      </c>
      <c r="L15" s="1" t="s">
        <v>81</v>
      </c>
      <c r="M15" s="1" t="s">
        <v>65</v>
      </c>
      <c r="N15" s="1" t="s">
        <v>31</v>
      </c>
      <c r="O15" s="1" t="s">
        <v>71</v>
      </c>
      <c r="P15" s="1">
        <v>4</v>
      </c>
      <c r="Q15" s="1">
        <v>1002</v>
      </c>
      <c r="R15" s="1">
        <v>1530</v>
      </c>
      <c r="S15" s="1">
        <v>10</v>
      </c>
      <c r="T15" s="1">
        <f t="shared" si="1"/>
        <v>5508</v>
      </c>
      <c r="U15" s="1">
        <f t="shared" si="2"/>
        <v>4008</v>
      </c>
      <c r="V15" s="1">
        <f t="shared" si="3"/>
        <v>1500</v>
      </c>
      <c r="W15" s="1" t="s">
        <v>33</v>
      </c>
      <c r="X15" s="1" t="s">
        <v>34</v>
      </c>
      <c r="Y15" s="1" t="s">
        <v>46</v>
      </c>
    </row>
    <row r="16" spans="1:25" x14ac:dyDescent="0.3">
      <c r="A16" s="1" t="s">
        <v>110</v>
      </c>
      <c r="B16" s="1" t="s">
        <v>111</v>
      </c>
      <c r="C16" s="1" t="str">
        <f t="shared" si="0"/>
        <v>January</v>
      </c>
      <c r="D16" s="1" t="s">
        <v>49</v>
      </c>
      <c r="E16" s="1" t="s">
        <v>112</v>
      </c>
      <c r="F16" s="1" t="s">
        <v>51</v>
      </c>
      <c r="G16" s="1">
        <v>55</v>
      </c>
      <c r="H16" s="1" t="s">
        <v>52</v>
      </c>
      <c r="I16" s="1" t="s">
        <v>52</v>
      </c>
      <c r="J16" s="1" t="s">
        <v>53</v>
      </c>
      <c r="K16" s="1" t="s">
        <v>54</v>
      </c>
      <c r="L16" s="1" t="s">
        <v>54</v>
      </c>
      <c r="M16" s="1" t="s">
        <v>82</v>
      </c>
      <c r="N16" s="1" t="s">
        <v>56</v>
      </c>
      <c r="O16" s="1" t="s">
        <v>113</v>
      </c>
      <c r="P16" s="1">
        <v>5</v>
      </c>
      <c r="Q16" s="1">
        <v>1291</v>
      </c>
      <c r="R16" s="1">
        <v>1575</v>
      </c>
      <c r="S16" s="1">
        <v>10</v>
      </c>
      <c r="T16" s="1">
        <f t="shared" si="1"/>
        <v>7087.5</v>
      </c>
      <c r="U16" s="1">
        <f t="shared" si="2"/>
        <v>6455</v>
      </c>
      <c r="V16" s="1">
        <f t="shared" si="3"/>
        <v>632.5</v>
      </c>
      <c r="W16" s="1" t="s">
        <v>44</v>
      </c>
      <c r="X16" s="1" t="s">
        <v>45</v>
      </c>
      <c r="Y16" s="1" t="s">
        <v>35</v>
      </c>
    </row>
    <row r="17" spans="1:25" x14ac:dyDescent="0.3">
      <c r="A17" s="1" t="s">
        <v>114</v>
      </c>
      <c r="B17" s="1" t="s">
        <v>115</v>
      </c>
      <c r="C17" s="1" t="str">
        <f t="shared" si="0"/>
        <v>July</v>
      </c>
      <c r="D17" s="1" t="s">
        <v>78</v>
      </c>
      <c r="E17" s="1" t="s">
        <v>116</v>
      </c>
      <c r="F17" s="1" t="s">
        <v>25</v>
      </c>
      <c r="G17" s="1">
        <v>45</v>
      </c>
      <c r="H17" s="1" t="s">
        <v>62</v>
      </c>
      <c r="I17" s="1" t="s">
        <v>63</v>
      </c>
      <c r="J17" s="1" t="s">
        <v>80</v>
      </c>
      <c r="K17" s="1" t="s">
        <v>117</v>
      </c>
      <c r="L17" s="1" t="s">
        <v>117</v>
      </c>
      <c r="M17" s="1" t="s">
        <v>86</v>
      </c>
      <c r="N17" s="1" t="s">
        <v>42</v>
      </c>
      <c r="O17" s="1" t="s">
        <v>71</v>
      </c>
      <c r="P17" s="1">
        <v>1</v>
      </c>
      <c r="Q17" s="1">
        <v>760</v>
      </c>
      <c r="R17" s="1">
        <v>1140</v>
      </c>
      <c r="S17" s="1">
        <v>20</v>
      </c>
      <c r="T17" s="1">
        <f t="shared" si="1"/>
        <v>912</v>
      </c>
      <c r="U17" s="1">
        <f t="shared" si="2"/>
        <v>760</v>
      </c>
      <c r="V17" s="1">
        <f t="shared" si="3"/>
        <v>152</v>
      </c>
      <c r="W17" s="1" t="s">
        <v>66</v>
      </c>
      <c r="X17" s="1" t="s">
        <v>45</v>
      </c>
      <c r="Y17" s="1" t="s">
        <v>46</v>
      </c>
    </row>
    <row r="18" spans="1:25" x14ac:dyDescent="0.3">
      <c r="A18" s="1" t="s">
        <v>118</v>
      </c>
      <c r="B18" s="1" t="s">
        <v>119</v>
      </c>
      <c r="C18" s="1" t="str">
        <f t="shared" si="0"/>
        <v>July</v>
      </c>
      <c r="D18" s="1" t="s">
        <v>98</v>
      </c>
      <c r="E18" s="1" t="s">
        <v>120</v>
      </c>
      <c r="F18" s="1" t="s">
        <v>51</v>
      </c>
      <c r="G18" s="1">
        <v>36</v>
      </c>
      <c r="H18" s="1" t="s">
        <v>52</v>
      </c>
      <c r="I18" s="1" t="s">
        <v>52</v>
      </c>
      <c r="J18" s="1" t="s">
        <v>53</v>
      </c>
      <c r="K18" s="1" t="s">
        <v>64</v>
      </c>
      <c r="L18" s="1" t="s">
        <v>64</v>
      </c>
      <c r="M18" s="1" t="s">
        <v>65</v>
      </c>
      <c r="N18" s="1" t="s">
        <v>56</v>
      </c>
      <c r="O18" s="1" t="s">
        <v>57</v>
      </c>
      <c r="P18" s="1">
        <v>2</v>
      </c>
      <c r="Q18" s="1">
        <v>948</v>
      </c>
      <c r="R18" s="1">
        <v>1357</v>
      </c>
      <c r="S18" s="1">
        <v>10</v>
      </c>
      <c r="T18" s="1">
        <f t="shared" si="1"/>
        <v>2442.6</v>
      </c>
      <c r="U18" s="1">
        <f t="shared" si="2"/>
        <v>1896</v>
      </c>
      <c r="V18" s="1">
        <f t="shared" si="3"/>
        <v>546.59999999999991</v>
      </c>
      <c r="W18" s="1" t="s">
        <v>66</v>
      </c>
      <c r="X18" s="1" t="s">
        <v>45</v>
      </c>
      <c r="Y18" s="1" t="s">
        <v>46</v>
      </c>
    </row>
    <row r="19" spans="1:25" x14ac:dyDescent="0.3">
      <c r="A19" s="1" t="s">
        <v>121</v>
      </c>
      <c r="B19" s="1" t="s">
        <v>122</v>
      </c>
      <c r="C19" s="1" t="str">
        <f t="shared" si="0"/>
        <v>January</v>
      </c>
      <c r="D19" s="1" t="s">
        <v>78</v>
      </c>
      <c r="E19" s="1" t="s">
        <v>123</v>
      </c>
      <c r="F19" s="1" t="s">
        <v>51</v>
      </c>
      <c r="G19" s="1">
        <v>29</v>
      </c>
      <c r="H19" s="1" t="s">
        <v>26</v>
      </c>
      <c r="I19" s="1" t="s">
        <v>27</v>
      </c>
      <c r="J19" s="1" t="s">
        <v>28</v>
      </c>
      <c r="K19" s="1" t="s">
        <v>100</v>
      </c>
      <c r="L19" s="1" t="s">
        <v>100</v>
      </c>
      <c r="M19" s="1" t="s">
        <v>82</v>
      </c>
      <c r="N19" s="1" t="s">
        <v>42</v>
      </c>
      <c r="O19" s="1" t="s">
        <v>71</v>
      </c>
      <c r="P19" s="1">
        <v>3</v>
      </c>
      <c r="Q19" s="1">
        <v>407</v>
      </c>
      <c r="R19" s="1">
        <v>666</v>
      </c>
      <c r="S19" s="1">
        <v>5</v>
      </c>
      <c r="T19" s="1">
        <f t="shared" si="1"/>
        <v>1898.1</v>
      </c>
      <c r="U19" s="1">
        <f t="shared" si="2"/>
        <v>1221</v>
      </c>
      <c r="V19" s="1">
        <f t="shared" si="3"/>
        <v>677.09999999999991</v>
      </c>
      <c r="W19" s="1" t="s">
        <v>33</v>
      </c>
      <c r="X19" s="1" t="s">
        <v>34</v>
      </c>
      <c r="Y19" s="1" t="s">
        <v>124</v>
      </c>
    </row>
    <row r="20" spans="1:25" x14ac:dyDescent="0.3">
      <c r="A20" s="1" t="s">
        <v>125</v>
      </c>
      <c r="B20" s="1" t="s">
        <v>126</v>
      </c>
      <c r="C20" s="1" t="str">
        <f t="shared" si="0"/>
        <v>March</v>
      </c>
      <c r="D20" s="1" t="s">
        <v>127</v>
      </c>
      <c r="E20" s="1" t="s">
        <v>128</v>
      </c>
      <c r="F20" s="1" t="s">
        <v>51</v>
      </c>
      <c r="G20" s="1">
        <v>46</v>
      </c>
      <c r="H20" s="1" t="s">
        <v>52</v>
      </c>
      <c r="I20" s="1" t="s">
        <v>52</v>
      </c>
      <c r="J20" s="1" t="s">
        <v>80</v>
      </c>
      <c r="K20" s="1" t="s">
        <v>81</v>
      </c>
      <c r="L20" s="1" t="s">
        <v>81</v>
      </c>
      <c r="M20" s="1" t="s">
        <v>30</v>
      </c>
      <c r="N20" s="1" t="s">
        <v>70</v>
      </c>
      <c r="O20" s="1" t="s">
        <v>57</v>
      </c>
      <c r="P20" s="1">
        <v>2</v>
      </c>
      <c r="Q20" s="1">
        <v>822</v>
      </c>
      <c r="R20" s="1">
        <v>1295</v>
      </c>
      <c r="S20" s="1">
        <v>15</v>
      </c>
      <c r="T20" s="1">
        <f t="shared" si="1"/>
        <v>2201.5</v>
      </c>
      <c r="U20" s="1">
        <f t="shared" si="2"/>
        <v>1644</v>
      </c>
      <c r="V20" s="1">
        <f t="shared" si="3"/>
        <v>557.5</v>
      </c>
      <c r="W20" s="1" t="s">
        <v>44</v>
      </c>
      <c r="X20" s="1" t="s">
        <v>45</v>
      </c>
      <c r="Y20" s="1" t="s">
        <v>46</v>
      </c>
    </row>
    <row r="21" spans="1:25" x14ac:dyDescent="0.3">
      <c r="A21" s="1" t="s">
        <v>129</v>
      </c>
      <c r="B21" s="1" t="s">
        <v>130</v>
      </c>
      <c r="C21" s="1" t="str">
        <f t="shared" si="0"/>
        <v>February</v>
      </c>
      <c r="D21" s="1" t="s">
        <v>49</v>
      </c>
      <c r="E21" s="1" t="s">
        <v>131</v>
      </c>
      <c r="F21" s="1" t="s">
        <v>51</v>
      </c>
      <c r="G21" s="1">
        <v>19</v>
      </c>
      <c r="H21" s="1" t="s">
        <v>52</v>
      </c>
      <c r="I21" s="1" t="s">
        <v>52</v>
      </c>
      <c r="J21" s="1" t="s">
        <v>28</v>
      </c>
      <c r="K21" s="1" t="s">
        <v>29</v>
      </c>
      <c r="L21" s="1" t="s">
        <v>29</v>
      </c>
      <c r="M21" s="1" t="s">
        <v>86</v>
      </c>
      <c r="N21" s="1" t="s">
        <v>31</v>
      </c>
      <c r="O21" s="1" t="s">
        <v>32</v>
      </c>
      <c r="P21" s="1">
        <v>3</v>
      </c>
      <c r="Q21" s="1">
        <v>634</v>
      </c>
      <c r="R21" s="1">
        <v>1426</v>
      </c>
      <c r="S21" s="1">
        <v>10</v>
      </c>
      <c r="T21" s="1">
        <f t="shared" si="1"/>
        <v>3850.2000000000003</v>
      </c>
      <c r="U21" s="1">
        <f t="shared" si="2"/>
        <v>1902</v>
      </c>
      <c r="V21" s="1">
        <f t="shared" si="3"/>
        <v>1948.2000000000003</v>
      </c>
      <c r="W21" s="1" t="s">
        <v>66</v>
      </c>
      <c r="X21" s="1" t="s">
        <v>45</v>
      </c>
      <c r="Y21" s="1" t="s">
        <v>46</v>
      </c>
    </row>
    <row r="22" spans="1:25" x14ac:dyDescent="0.3">
      <c r="A22" s="1" t="s">
        <v>132</v>
      </c>
      <c r="B22" s="1" t="s">
        <v>133</v>
      </c>
      <c r="C22" s="1" t="str">
        <f t="shared" si="0"/>
        <v>June</v>
      </c>
      <c r="D22" s="1" t="s">
        <v>98</v>
      </c>
      <c r="E22" s="1" t="s">
        <v>134</v>
      </c>
      <c r="F22" s="1" t="s">
        <v>51</v>
      </c>
      <c r="G22" s="1">
        <v>30</v>
      </c>
      <c r="H22" s="1" t="s">
        <v>91</v>
      </c>
      <c r="I22" s="1" t="s">
        <v>92</v>
      </c>
      <c r="J22" s="1" t="s">
        <v>28</v>
      </c>
      <c r="K22" s="1" t="s">
        <v>29</v>
      </c>
      <c r="L22" s="1" t="s">
        <v>29</v>
      </c>
      <c r="M22" s="1" t="s">
        <v>55</v>
      </c>
      <c r="N22" s="1" t="s">
        <v>70</v>
      </c>
      <c r="O22" s="1" t="s">
        <v>43</v>
      </c>
      <c r="P22" s="1">
        <v>1</v>
      </c>
      <c r="Q22" s="1">
        <v>1232</v>
      </c>
      <c r="R22" s="1">
        <v>1497</v>
      </c>
      <c r="S22" s="1">
        <v>10</v>
      </c>
      <c r="T22" s="1">
        <f t="shared" si="1"/>
        <v>1347.3</v>
      </c>
      <c r="U22" s="1">
        <f t="shared" si="2"/>
        <v>1232</v>
      </c>
      <c r="V22" s="1">
        <f t="shared" si="3"/>
        <v>115.29999999999995</v>
      </c>
      <c r="W22" s="1" t="s">
        <v>44</v>
      </c>
      <c r="X22" s="1" t="s">
        <v>45</v>
      </c>
      <c r="Y22" s="1" t="s">
        <v>35</v>
      </c>
    </row>
    <row r="23" spans="1:25" x14ac:dyDescent="0.3">
      <c r="A23" s="1" t="s">
        <v>135</v>
      </c>
      <c r="B23" s="1" t="s">
        <v>136</v>
      </c>
      <c r="C23" s="1" t="str">
        <f t="shared" si="0"/>
        <v>August</v>
      </c>
      <c r="D23" s="1" t="s">
        <v>85</v>
      </c>
      <c r="E23" s="1" t="s">
        <v>137</v>
      </c>
      <c r="F23" s="1" t="s">
        <v>51</v>
      </c>
      <c r="G23" s="1">
        <v>39</v>
      </c>
      <c r="H23" s="1" t="s">
        <v>62</v>
      </c>
      <c r="I23" s="1" t="s">
        <v>63</v>
      </c>
      <c r="J23" s="1" t="s">
        <v>28</v>
      </c>
      <c r="K23" s="1" t="s">
        <v>29</v>
      </c>
      <c r="L23" s="1" t="s">
        <v>29</v>
      </c>
      <c r="M23" s="1" t="s">
        <v>86</v>
      </c>
      <c r="N23" s="1" t="s">
        <v>70</v>
      </c>
      <c r="O23" s="1" t="s">
        <v>43</v>
      </c>
      <c r="P23" s="1">
        <v>3</v>
      </c>
      <c r="Q23" s="1">
        <v>443</v>
      </c>
      <c r="R23" s="1">
        <v>1235</v>
      </c>
      <c r="S23" s="1">
        <v>20</v>
      </c>
      <c r="T23" s="1">
        <f t="shared" si="1"/>
        <v>2964</v>
      </c>
      <c r="U23" s="1">
        <f t="shared" si="2"/>
        <v>1329</v>
      </c>
      <c r="V23" s="1">
        <f t="shared" si="3"/>
        <v>1635</v>
      </c>
      <c r="W23" s="1" t="s">
        <v>44</v>
      </c>
      <c r="X23" s="1" t="s">
        <v>34</v>
      </c>
      <c r="Y23" s="1" t="s">
        <v>46</v>
      </c>
    </row>
    <row r="24" spans="1:25" x14ac:dyDescent="0.3">
      <c r="A24" s="1" t="s">
        <v>138</v>
      </c>
      <c r="B24" s="1" t="s">
        <v>139</v>
      </c>
      <c r="C24" s="1" t="str">
        <f t="shared" si="0"/>
        <v>January</v>
      </c>
      <c r="D24" s="1" t="s">
        <v>98</v>
      </c>
      <c r="E24" s="1" t="s">
        <v>140</v>
      </c>
      <c r="F24" s="1" t="s">
        <v>25</v>
      </c>
      <c r="G24" s="1">
        <v>25</v>
      </c>
      <c r="H24" s="1" t="s">
        <v>62</v>
      </c>
      <c r="I24" s="1" t="s">
        <v>63</v>
      </c>
      <c r="J24" s="1" t="s">
        <v>28</v>
      </c>
      <c r="K24" s="1" t="s">
        <v>29</v>
      </c>
      <c r="L24" s="1" t="s">
        <v>29</v>
      </c>
      <c r="M24" s="1" t="s">
        <v>30</v>
      </c>
      <c r="N24" s="1" t="s">
        <v>31</v>
      </c>
      <c r="O24" s="1" t="s">
        <v>32</v>
      </c>
      <c r="P24" s="1">
        <v>1</v>
      </c>
      <c r="Q24" s="1">
        <v>896</v>
      </c>
      <c r="R24" s="1">
        <v>1367</v>
      </c>
      <c r="S24" s="1">
        <v>5</v>
      </c>
      <c r="T24" s="1">
        <f t="shared" si="1"/>
        <v>1298.6499999999999</v>
      </c>
      <c r="U24" s="1">
        <f t="shared" si="2"/>
        <v>896</v>
      </c>
      <c r="V24" s="1">
        <f t="shared" si="3"/>
        <v>402.64999999999986</v>
      </c>
      <c r="W24" s="1" t="s">
        <v>66</v>
      </c>
      <c r="X24" s="1" t="s">
        <v>34</v>
      </c>
      <c r="Y24" s="1" t="s">
        <v>46</v>
      </c>
    </row>
    <row r="25" spans="1:25" x14ac:dyDescent="0.3">
      <c r="A25" s="1" t="s">
        <v>141</v>
      </c>
      <c r="B25" s="1" t="s">
        <v>142</v>
      </c>
      <c r="C25" s="1" t="str">
        <f t="shared" si="0"/>
        <v>August</v>
      </c>
      <c r="D25" s="1" t="s">
        <v>38</v>
      </c>
      <c r="E25" s="1" t="s">
        <v>143</v>
      </c>
      <c r="F25" s="1" t="s">
        <v>25</v>
      </c>
      <c r="G25" s="1">
        <v>51</v>
      </c>
      <c r="H25" s="1" t="s">
        <v>62</v>
      </c>
      <c r="I25" s="1" t="s">
        <v>63</v>
      </c>
      <c r="J25" s="1" t="s">
        <v>53</v>
      </c>
      <c r="K25" s="1" t="s">
        <v>64</v>
      </c>
      <c r="L25" s="1" t="s">
        <v>64</v>
      </c>
      <c r="M25" s="1" t="s">
        <v>55</v>
      </c>
      <c r="N25" s="1" t="s">
        <v>31</v>
      </c>
      <c r="O25" s="1" t="s">
        <v>71</v>
      </c>
      <c r="P25" s="1">
        <v>1</v>
      </c>
      <c r="Q25" s="1">
        <v>619</v>
      </c>
      <c r="R25" s="1">
        <v>1137</v>
      </c>
      <c r="S25" s="1">
        <v>15</v>
      </c>
      <c r="T25" s="1">
        <f t="shared" si="1"/>
        <v>966.44999999999993</v>
      </c>
      <c r="U25" s="1">
        <f t="shared" si="2"/>
        <v>619</v>
      </c>
      <c r="V25" s="1">
        <f t="shared" si="3"/>
        <v>347.44999999999993</v>
      </c>
      <c r="W25" s="1" t="s">
        <v>44</v>
      </c>
      <c r="X25" s="1" t="s">
        <v>34</v>
      </c>
      <c r="Y25" s="1" t="s">
        <v>124</v>
      </c>
    </row>
    <row r="26" spans="1:25" x14ac:dyDescent="0.3">
      <c r="A26" s="1" t="s">
        <v>144</v>
      </c>
      <c r="B26" s="1" t="s">
        <v>145</v>
      </c>
      <c r="C26" s="1" t="str">
        <f t="shared" si="0"/>
        <v>March</v>
      </c>
      <c r="D26" s="1" t="s">
        <v>78</v>
      </c>
      <c r="E26" s="1" t="s">
        <v>146</v>
      </c>
      <c r="F26" s="1" t="s">
        <v>25</v>
      </c>
      <c r="G26" s="1">
        <v>47</v>
      </c>
      <c r="H26" s="1" t="s">
        <v>62</v>
      </c>
      <c r="I26" s="1" t="s">
        <v>63</v>
      </c>
      <c r="J26" s="1" t="s">
        <v>53</v>
      </c>
      <c r="K26" s="1" t="s">
        <v>64</v>
      </c>
      <c r="L26" s="1" t="s">
        <v>64</v>
      </c>
      <c r="M26" s="1" t="s">
        <v>86</v>
      </c>
      <c r="N26" s="1" t="s">
        <v>42</v>
      </c>
      <c r="O26" s="1" t="s">
        <v>113</v>
      </c>
      <c r="P26" s="1">
        <v>1</v>
      </c>
      <c r="Q26" s="1">
        <v>1117</v>
      </c>
      <c r="R26" s="1">
        <v>1487</v>
      </c>
      <c r="S26" s="1">
        <v>5</v>
      </c>
      <c r="T26" s="1">
        <f t="shared" si="1"/>
        <v>1412.6499999999999</v>
      </c>
      <c r="U26" s="1">
        <f t="shared" si="2"/>
        <v>1117</v>
      </c>
      <c r="V26" s="1">
        <f t="shared" si="3"/>
        <v>295.64999999999986</v>
      </c>
      <c r="W26" s="1" t="s">
        <v>44</v>
      </c>
      <c r="X26" s="1" t="s">
        <v>34</v>
      </c>
      <c r="Y26" s="1" t="s">
        <v>35</v>
      </c>
    </row>
    <row r="27" spans="1:25" x14ac:dyDescent="0.3">
      <c r="A27" s="1" t="s">
        <v>147</v>
      </c>
      <c r="B27" s="1" t="s">
        <v>115</v>
      </c>
      <c r="C27" s="1" t="str">
        <f t="shared" si="0"/>
        <v>July</v>
      </c>
      <c r="D27" s="1" t="s">
        <v>68</v>
      </c>
      <c r="E27" s="1" t="s">
        <v>148</v>
      </c>
      <c r="F27" s="1" t="s">
        <v>25</v>
      </c>
      <c r="G27" s="1">
        <v>45</v>
      </c>
      <c r="H27" s="1" t="s">
        <v>52</v>
      </c>
      <c r="I27" s="1" t="s">
        <v>52</v>
      </c>
      <c r="J27" s="1" t="s">
        <v>53</v>
      </c>
      <c r="K27" s="1" t="s">
        <v>54</v>
      </c>
      <c r="L27" s="1" t="s">
        <v>54</v>
      </c>
      <c r="M27" s="1" t="s">
        <v>82</v>
      </c>
      <c r="N27" s="1" t="s">
        <v>56</v>
      </c>
      <c r="O27" s="1" t="s">
        <v>32</v>
      </c>
      <c r="P27" s="1">
        <v>2</v>
      </c>
      <c r="Q27" s="1">
        <v>902</v>
      </c>
      <c r="R27" s="1">
        <v>1188</v>
      </c>
      <c r="S27" s="1">
        <v>5</v>
      </c>
      <c r="T27" s="1">
        <f t="shared" si="1"/>
        <v>2257.1999999999998</v>
      </c>
      <c r="U27" s="1">
        <f t="shared" si="2"/>
        <v>1804</v>
      </c>
      <c r="V27" s="1">
        <f t="shared" si="3"/>
        <v>453.19999999999982</v>
      </c>
      <c r="W27" s="1" t="s">
        <v>33</v>
      </c>
      <c r="X27" s="1" t="s">
        <v>45</v>
      </c>
      <c r="Y27" s="1" t="s">
        <v>124</v>
      </c>
    </row>
    <row r="28" spans="1:25" x14ac:dyDescent="0.3">
      <c r="A28" s="1" t="s">
        <v>149</v>
      </c>
      <c r="B28" s="1" t="s">
        <v>150</v>
      </c>
      <c r="C28" s="1" t="str">
        <f t="shared" si="0"/>
        <v>March</v>
      </c>
      <c r="D28" s="1" t="s">
        <v>38</v>
      </c>
      <c r="E28" s="1" t="s">
        <v>151</v>
      </c>
      <c r="F28" s="1" t="s">
        <v>25</v>
      </c>
      <c r="G28" s="1">
        <v>27</v>
      </c>
      <c r="H28" s="1" t="s">
        <v>62</v>
      </c>
      <c r="I28" s="1" t="s">
        <v>63</v>
      </c>
      <c r="J28" s="1" t="s">
        <v>80</v>
      </c>
      <c r="K28" s="1" t="s">
        <v>81</v>
      </c>
      <c r="L28" s="1" t="s">
        <v>81</v>
      </c>
      <c r="M28" s="1" t="s">
        <v>86</v>
      </c>
      <c r="N28" s="1" t="s">
        <v>56</v>
      </c>
      <c r="O28" s="1" t="s">
        <v>43</v>
      </c>
      <c r="P28" s="1">
        <v>3</v>
      </c>
      <c r="Q28" s="1">
        <v>1365</v>
      </c>
      <c r="R28" s="1">
        <v>1786</v>
      </c>
      <c r="S28" s="1">
        <v>10</v>
      </c>
      <c r="T28" s="1">
        <f t="shared" si="1"/>
        <v>4822.2</v>
      </c>
      <c r="U28" s="1">
        <f t="shared" si="2"/>
        <v>4095</v>
      </c>
      <c r="V28" s="1">
        <f t="shared" si="3"/>
        <v>727.19999999999982</v>
      </c>
      <c r="W28" s="1" t="s">
        <v>33</v>
      </c>
      <c r="X28" s="1" t="s">
        <v>34</v>
      </c>
      <c r="Y28" s="1" t="s">
        <v>124</v>
      </c>
    </row>
    <row r="29" spans="1:25" x14ac:dyDescent="0.3">
      <c r="A29" s="1" t="s">
        <v>152</v>
      </c>
      <c r="B29" s="1" t="s">
        <v>153</v>
      </c>
      <c r="C29" s="1" t="str">
        <f t="shared" si="0"/>
        <v>March</v>
      </c>
      <c r="D29" s="1" t="s">
        <v>49</v>
      </c>
      <c r="E29" s="1" t="s">
        <v>154</v>
      </c>
      <c r="F29" s="1" t="s">
        <v>25</v>
      </c>
      <c r="G29" s="1">
        <v>33</v>
      </c>
      <c r="H29" s="1" t="s">
        <v>91</v>
      </c>
      <c r="I29" s="1" t="s">
        <v>92</v>
      </c>
      <c r="J29" s="1" t="s">
        <v>80</v>
      </c>
      <c r="K29" s="1" t="s">
        <v>117</v>
      </c>
      <c r="L29" s="1" t="s">
        <v>117</v>
      </c>
      <c r="M29" s="1" t="s">
        <v>55</v>
      </c>
      <c r="N29" s="1" t="s">
        <v>42</v>
      </c>
      <c r="O29" s="1" t="s">
        <v>71</v>
      </c>
      <c r="P29" s="1">
        <v>1</v>
      </c>
      <c r="Q29" s="1">
        <v>1271</v>
      </c>
      <c r="R29" s="1">
        <v>1784</v>
      </c>
      <c r="S29" s="1">
        <v>20</v>
      </c>
      <c r="T29" s="1">
        <f t="shared" si="1"/>
        <v>1427.2</v>
      </c>
      <c r="U29" s="1">
        <f t="shared" si="2"/>
        <v>1271</v>
      </c>
      <c r="V29" s="1">
        <f t="shared" si="3"/>
        <v>156.20000000000005</v>
      </c>
      <c r="W29" s="1" t="s">
        <v>33</v>
      </c>
      <c r="X29" s="1" t="s">
        <v>34</v>
      </c>
      <c r="Y29" s="1" t="s">
        <v>124</v>
      </c>
    </row>
    <row r="30" spans="1:25" x14ac:dyDescent="0.3">
      <c r="A30" s="1" t="s">
        <v>155</v>
      </c>
      <c r="B30" s="1" t="s">
        <v>156</v>
      </c>
      <c r="C30" s="1" t="str">
        <f t="shared" si="0"/>
        <v>January</v>
      </c>
      <c r="D30" s="1" t="s">
        <v>78</v>
      </c>
      <c r="E30" s="1" t="s">
        <v>157</v>
      </c>
      <c r="F30" s="1" t="s">
        <v>25</v>
      </c>
      <c r="G30" s="1">
        <v>18</v>
      </c>
      <c r="H30" s="1" t="s">
        <v>52</v>
      </c>
      <c r="I30" s="1" t="s">
        <v>52</v>
      </c>
      <c r="J30" s="1" t="s">
        <v>80</v>
      </c>
      <c r="K30" s="1" t="s">
        <v>117</v>
      </c>
      <c r="L30" s="1" t="s">
        <v>117</v>
      </c>
      <c r="M30" s="1" t="s">
        <v>65</v>
      </c>
      <c r="N30" s="1" t="s">
        <v>70</v>
      </c>
      <c r="O30" s="1" t="s">
        <v>57</v>
      </c>
      <c r="P30" s="1">
        <v>5</v>
      </c>
      <c r="Q30" s="1">
        <v>945</v>
      </c>
      <c r="R30" s="1">
        <v>1308</v>
      </c>
      <c r="S30" s="1">
        <v>15</v>
      </c>
      <c r="T30" s="1">
        <f t="shared" si="1"/>
        <v>5559</v>
      </c>
      <c r="U30" s="1">
        <f t="shared" si="2"/>
        <v>4725</v>
      </c>
      <c r="V30" s="1">
        <f t="shared" si="3"/>
        <v>834</v>
      </c>
      <c r="W30" s="1" t="s">
        <v>33</v>
      </c>
      <c r="X30" s="1" t="s">
        <v>34</v>
      </c>
      <c r="Y30" s="1" t="s">
        <v>46</v>
      </c>
    </row>
    <row r="31" spans="1:25" x14ac:dyDescent="0.3">
      <c r="A31" s="1" t="s">
        <v>158</v>
      </c>
      <c r="B31" s="1" t="s">
        <v>159</v>
      </c>
      <c r="C31" s="1" t="str">
        <f t="shared" si="0"/>
        <v>September</v>
      </c>
      <c r="D31" s="1" t="s">
        <v>127</v>
      </c>
      <c r="E31" s="1" t="s">
        <v>131</v>
      </c>
      <c r="F31" s="1" t="s">
        <v>51</v>
      </c>
      <c r="G31" s="1">
        <v>24</v>
      </c>
      <c r="H31" s="1" t="s">
        <v>62</v>
      </c>
      <c r="I31" s="1" t="s">
        <v>63</v>
      </c>
      <c r="J31" s="1" t="s">
        <v>80</v>
      </c>
      <c r="K31" s="1" t="s">
        <v>117</v>
      </c>
      <c r="L31" s="1" t="s">
        <v>117</v>
      </c>
      <c r="M31" s="1" t="s">
        <v>86</v>
      </c>
      <c r="N31" s="1" t="s">
        <v>42</v>
      </c>
      <c r="O31" s="1" t="s">
        <v>113</v>
      </c>
      <c r="P31" s="1">
        <v>3</v>
      </c>
      <c r="Q31" s="1">
        <v>597</v>
      </c>
      <c r="R31" s="1">
        <v>708</v>
      </c>
      <c r="S31" s="1">
        <v>20</v>
      </c>
      <c r="T31" s="1">
        <f t="shared" si="1"/>
        <v>1699.2</v>
      </c>
      <c r="U31" s="1">
        <f t="shared" si="2"/>
        <v>1791</v>
      </c>
      <c r="V31" s="1">
        <f t="shared" si="3"/>
        <v>-91.799999999999955</v>
      </c>
      <c r="W31" s="1" t="s">
        <v>66</v>
      </c>
      <c r="X31" s="1" t="s">
        <v>45</v>
      </c>
      <c r="Y31" s="1" t="s">
        <v>46</v>
      </c>
    </row>
    <row r="32" spans="1:25" x14ac:dyDescent="0.3">
      <c r="A32" s="1" t="s">
        <v>160</v>
      </c>
      <c r="B32" s="1" t="s">
        <v>161</v>
      </c>
      <c r="C32" s="1" t="str">
        <f t="shared" si="0"/>
        <v>February</v>
      </c>
      <c r="D32" s="1" t="s">
        <v>98</v>
      </c>
      <c r="E32" s="1" t="s">
        <v>162</v>
      </c>
      <c r="F32" s="1" t="s">
        <v>51</v>
      </c>
      <c r="G32" s="1">
        <v>47</v>
      </c>
      <c r="H32" s="1" t="s">
        <v>52</v>
      </c>
      <c r="I32" s="1" t="s">
        <v>52</v>
      </c>
      <c r="J32" s="1" t="s">
        <v>28</v>
      </c>
      <c r="K32" s="1" t="s">
        <v>29</v>
      </c>
      <c r="L32" s="1" t="s">
        <v>29</v>
      </c>
      <c r="M32" s="1" t="s">
        <v>82</v>
      </c>
      <c r="N32" s="1" t="s">
        <v>42</v>
      </c>
      <c r="O32" s="1" t="s">
        <v>113</v>
      </c>
      <c r="P32" s="1">
        <v>5</v>
      </c>
      <c r="Q32" s="1">
        <v>1473</v>
      </c>
      <c r="R32" s="1">
        <v>1954</v>
      </c>
      <c r="S32" s="1">
        <v>20</v>
      </c>
      <c r="T32" s="1">
        <f t="shared" si="1"/>
        <v>7816</v>
      </c>
      <c r="U32" s="1">
        <f t="shared" si="2"/>
        <v>7365</v>
      </c>
      <c r="V32" s="1">
        <f t="shared" si="3"/>
        <v>451</v>
      </c>
      <c r="W32" s="1" t="s">
        <v>44</v>
      </c>
      <c r="X32" s="1" t="s">
        <v>45</v>
      </c>
      <c r="Y32" s="1" t="s">
        <v>46</v>
      </c>
    </row>
    <row r="33" spans="1:25" x14ac:dyDescent="0.3">
      <c r="A33" s="1" t="s">
        <v>163</v>
      </c>
      <c r="B33" s="1" t="s">
        <v>164</v>
      </c>
      <c r="C33" s="1" t="str">
        <f t="shared" si="0"/>
        <v>July</v>
      </c>
      <c r="D33" s="1" t="s">
        <v>85</v>
      </c>
      <c r="E33" s="1" t="s">
        <v>165</v>
      </c>
      <c r="F33" s="1" t="s">
        <v>25</v>
      </c>
      <c r="G33" s="1">
        <v>52</v>
      </c>
      <c r="H33" s="1" t="s">
        <v>62</v>
      </c>
      <c r="I33" s="1" t="s">
        <v>63</v>
      </c>
      <c r="J33" s="1" t="s">
        <v>28</v>
      </c>
      <c r="K33" s="1" t="s">
        <v>29</v>
      </c>
      <c r="L33" s="1" t="s">
        <v>29</v>
      </c>
      <c r="M33" s="1" t="s">
        <v>30</v>
      </c>
      <c r="N33" s="1" t="s">
        <v>70</v>
      </c>
      <c r="O33" s="1" t="s">
        <v>32</v>
      </c>
      <c r="P33" s="1">
        <v>3</v>
      </c>
      <c r="Q33" s="1">
        <v>1298</v>
      </c>
      <c r="R33" s="1">
        <v>1691</v>
      </c>
      <c r="S33" s="1">
        <v>0</v>
      </c>
      <c r="T33" s="1">
        <f t="shared" si="1"/>
        <v>5073</v>
      </c>
      <c r="U33" s="1">
        <f t="shared" si="2"/>
        <v>3894</v>
      </c>
      <c r="V33" s="1">
        <f t="shared" si="3"/>
        <v>1179</v>
      </c>
      <c r="W33" s="1" t="s">
        <v>44</v>
      </c>
      <c r="X33" s="1" t="s">
        <v>45</v>
      </c>
      <c r="Y33" s="1" t="s">
        <v>124</v>
      </c>
    </row>
    <row r="34" spans="1:25" x14ac:dyDescent="0.3">
      <c r="A34" s="1" t="s">
        <v>166</v>
      </c>
      <c r="B34" s="1" t="s">
        <v>167</v>
      </c>
      <c r="C34" s="1" t="str">
        <f t="shared" si="0"/>
        <v>December</v>
      </c>
      <c r="D34" s="1" t="s">
        <v>68</v>
      </c>
      <c r="E34" s="1" t="s">
        <v>148</v>
      </c>
      <c r="F34" s="1" t="s">
        <v>51</v>
      </c>
      <c r="G34" s="1">
        <v>54</v>
      </c>
      <c r="H34" s="1" t="s">
        <v>40</v>
      </c>
      <c r="I34" s="1" t="s">
        <v>41</v>
      </c>
      <c r="J34" s="1" t="s">
        <v>28</v>
      </c>
      <c r="K34" s="1" t="s">
        <v>100</v>
      </c>
      <c r="L34" s="1" t="s">
        <v>100</v>
      </c>
      <c r="M34" s="1" t="s">
        <v>55</v>
      </c>
      <c r="N34" s="1" t="s">
        <v>70</v>
      </c>
      <c r="O34" s="1" t="s">
        <v>113</v>
      </c>
      <c r="P34" s="1">
        <v>5</v>
      </c>
      <c r="Q34" s="1">
        <v>1339</v>
      </c>
      <c r="R34" s="1">
        <v>1790</v>
      </c>
      <c r="S34" s="1">
        <v>5</v>
      </c>
      <c r="T34" s="1">
        <f t="shared" si="1"/>
        <v>8502.5</v>
      </c>
      <c r="U34" s="1">
        <f t="shared" si="2"/>
        <v>6695</v>
      </c>
      <c r="V34" s="1">
        <f t="shared" si="3"/>
        <v>1807.5</v>
      </c>
      <c r="W34" s="1" t="s">
        <v>44</v>
      </c>
      <c r="X34" s="1" t="s">
        <v>45</v>
      </c>
      <c r="Y34" s="1" t="s">
        <v>35</v>
      </c>
    </row>
    <row r="35" spans="1:25" x14ac:dyDescent="0.3">
      <c r="A35" s="1" t="s">
        <v>168</v>
      </c>
      <c r="B35" s="1" t="s">
        <v>169</v>
      </c>
      <c r="C35" s="1" t="str">
        <f t="shared" si="0"/>
        <v>July</v>
      </c>
      <c r="D35" s="1" t="s">
        <v>68</v>
      </c>
      <c r="E35" s="1" t="s">
        <v>146</v>
      </c>
      <c r="F35" s="1" t="s">
        <v>25</v>
      </c>
      <c r="G35" s="1">
        <v>24</v>
      </c>
      <c r="H35" s="1" t="s">
        <v>52</v>
      </c>
      <c r="I35" s="1" t="s">
        <v>52</v>
      </c>
      <c r="J35" s="1" t="s">
        <v>28</v>
      </c>
      <c r="K35" s="1" t="s">
        <v>100</v>
      </c>
      <c r="L35" s="1" t="s">
        <v>100</v>
      </c>
      <c r="M35" s="1" t="s">
        <v>82</v>
      </c>
      <c r="N35" s="1" t="s">
        <v>42</v>
      </c>
      <c r="O35" s="1" t="s">
        <v>57</v>
      </c>
      <c r="P35" s="1">
        <v>1</v>
      </c>
      <c r="Q35" s="1">
        <v>598</v>
      </c>
      <c r="R35" s="1">
        <v>706</v>
      </c>
      <c r="S35" s="1">
        <v>0</v>
      </c>
      <c r="T35" s="1">
        <f t="shared" si="1"/>
        <v>706</v>
      </c>
      <c r="U35" s="1">
        <f t="shared" si="2"/>
        <v>598</v>
      </c>
      <c r="V35" s="1">
        <f t="shared" si="3"/>
        <v>108</v>
      </c>
      <c r="W35" s="1" t="s">
        <v>66</v>
      </c>
      <c r="X35" s="1" t="s">
        <v>45</v>
      </c>
      <c r="Y35" s="1" t="s">
        <v>46</v>
      </c>
    </row>
    <row r="36" spans="1:25" x14ac:dyDescent="0.3">
      <c r="A36" s="1" t="s">
        <v>170</v>
      </c>
      <c r="B36" s="1" t="s">
        <v>171</v>
      </c>
      <c r="C36" s="1" t="str">
        <f t="shared" si="0"/>
        <v>March</v>
      </c>
      <c r="D36" s="1" t="s">
        <v>78</v>
      </c>
      <c r="E36" s="1" t="s">
        <v>172</v>
      </c>
      <c r="F36" s="1" t="s">
        <v>51</v>
      </c>
      <c r="G36" s="1">
        <v>42</v>
      </c>
      <c r="H36" s="1" t="s">
        <v>62</v>
      </c>
      <c r="I36" s="1" t="s">
        <v>63</v>
      </c>
      <c r="J36" s="1" t="s">
        <v>53</v>
      </c>
      <c r="K36" s="1" t="s">
        <v>64</v>
      </c>
      <c r="L36" s="1" t="s">
        <v>64</v>
      </c>
      <c r="M36" s="1" t="s">
        <v>55</v>
      </c>
      <c r="N36" s="1" t="s">
        <v>70</v>
      </c>
      <c r="O36" s="1" t="s">
        <v>57</v>
      </c>
      <c r="P36" s="1">
        <v>4</v>
      </c>
      <c r="Q36" s="1">
        <v>468</v>
      </c>
      <c r="R36" s="1">
        <v>1253</v>
      </c>
      <c r="S36" s="1">
        <v>20</v>
      </c>
      <c r="T36" s="1">
        <f t="shared" si="1"/>
        <v>4009.6000000000004</v>
      </c>
      <c r="U36" s="1">
        <f t="shared" si="2"/>
        <v>1872</v>
      </c>
      <c r="V36" s="1">
        <f t="shared" si="3"/>
        <v>2137.6000000000004</v>
      </c>
      <c r="W36" s="1" t="s">
        <v>33</v>
      </c>
      <c r="X36" s="1" t="s">
        <v>45</v>
      </c>
      <c r="Y36" s="1" t="s">
        <v>35</v>
      </c>
    </row>
    <row r="37" spans="1:25" x14ac:dyDescent="0.3">
      <c r="A37" s="1" t="s">
        <v>173</v>
      </c>
      <c r="B37" s="1" t="s">
        <v>174</v>
      </c>
      <c r="C37" s="1" t="str">
        <f t="shared" si="0"/>
        <v>August</v>
      </c>
      <c r="D37" s="1" t="s">
        <v>74</v>
      </c>
      <c r="E37" s="1" t="s">
        <v>175</v>
      </c>
      <c r="F37" s="1" t="s">
        <v>25</v>
      </c>
      <c r="G37" s="1">
        <v>34</v>
      </c>
      <c r="H37" s="1" t="s">
        <v>62</v>
      </c>
      <c r="I37" s="1" t="s">
        <v>63</v>
      </c>
      <c r="J37" s="1" t="s">
        <v>80</v>
      </c>
      <c r="K37" s="1" t="s">
        <v>81</v>
      </c>
      <c r="L37" s="1" t="s">
        <v>81</v>
      </c>
      <c r="M37" s="1" t="s">
        <v>82</v>
      </c>
      <c r="N37" s="1" t="s">
        <v>56</v>
      </c>
      <c r="O37" s="1" t="s">
        <v>113</v>
      </c>
      <c r="P37" s="1">
        <v>3</v>
      </c>
      <c r="Q37" s="1">
        <v>595</v>
      </c>
      <c r="R37" s="1">
        <v>1383</v>
      </c>
      <c r="S37" s="1">
        <v>10</v>
      </c>
      <c r="T37" s="1">
        <f t="shared" si="1"/>
        <v>3734.1</v>
      </c>
      <c r="U37" s="1">
        <f t="shared" si="2"/>
        <v>1785</v>
      </c>
      <c r="V37" s="1">
        <f t="shared" si="3"/>
        <v>1949.1</v>
      </c>
      <c r="W37" s="1" t="s">
        <v>66</v>
      </c>
      <c r="X37" s="1" t="s">
        <v>34</v>
      </c>
      <c r="Y37" s="1" t="s">
        <v>35</v>
      </c>
    </row>
    <row r="38" spans="1:25" x14ac:dyDescent="0.3">
      <c r="A38" s="1" t="s">
        <v>176</v>
      </c>
      <c r="B38" s="1" t="s">
        <v>177</v>
      </c>
      <c r="C38" s="1" t="str">
        <f t="shared" si="0"/>
        <v>March</v>
      </c>
      <c r="D38" s="1" t="s">
        <v>98</v>
      </c>
      <c r="E38" s="1" t="s">
        <v>120</v>
      </c>
      <c r="F38" s="1" t="s">
        <v>25</v>
      </c>
      <c r="G38" s="1">
        <v>30</v>
      </c>
      <c r="H38" s="1" t="s">
        <v>26</v>
      </c>
      <c r="I38" s="1" t="s">
        <v>27</v>
      </c>
      <c r="J38" s="1" t="s">
        <v>80</v>
      </c>
      <c r="K38" s="1" t="s">
        <v>81</v>
      </c>
      <c r="L38" s="1" t="s">
        <v>81</v>
      </c>
      <c r="M38" s="1" t="s">
        <v>86</v>
      </c>
      <c r="N38" s="1" t="s">
        <v>31</v>
      </c>
      <c r="O38" s="1" t="s">
        <v>113</v>
      </c>
      <c r="P38" s="1">
        <v>3</v>
      </c>
      <c r="Q38" s="1">
        <v>458</v>
      </c>
      <c r="R38" s="1">
        <v>1189</v>
      </c>
      <c r="S38" s="1">
        <v>20</v>
      </c>
      <c r="T38" s="1">
        <f t="shared" si="1"/>
        <v>2853.6000000000004</v>
      </c>
      <c r="U38" s="1">
        <f t="shared" si="2"/>
        <v>1374</v>
      </c>
      <c r="V38" s="1">
        <f t="shared" si="3"/>
        <v>1479.6000000000004</v>
      </c>
      <c r="W38" s="1" t="s">
        <v>66</v>
      </c>
      <c r="X38" s="1" t="s">
        <v>45</v>
      </c>
      <c r="Y38" s="1" t="s">
        <v>124</v>
      </c>
    </row>
    <row r="39" spans="1:25" x14ac:dyDescent="0.3">
      <c r="A39" s="1" t="s">
        <v>178</v>
      </c>
      <c r="B39" s="1" t="s">
        <v>179</v>
      </c>
      <c r="C39" s="1" t="str">
        <f t="shared" si="0"/>
        <v>February</v>
      </c>
      <c r="D39" s="1" t="s">
        <v>180</v>
      </c>
      <c r="E39" s="1" t="s">
        <v>50</v>
      </c>
      <c r="F39" s="1" t="s">
        <v>51</v>
      </c>
      <c r="G39" s="1">
        <v>32</v>
      </c>
      <c r="H39" s="1" t="s">
        <v>91</v>
      </c>
      <c r="I39" s="1" t="s">
        <v>92</v>
      </c>
      <c r="J39" s="1" t="s">
        <v>28</v>
      </c>
      <c r="K39" s="1" t="s">
        <v>100</v>
      </c>
      <c r="L39" s="1" t="s">
        <v>100</v>
      </c>
      <c r="M39" s="1" t="s">
        <v>30</v>
      </c>
      <c r="N39" s="1" t="s">
        <v>42</v>
      </c>
      <c r="O39" s="1" t="s">
        <v>71</v>
      </c>
      <c r="P39" s="1">
        <v>5</v>
      </c>
      <c r="Q39" s="1">
        <v>984</v>
      </c>
      <c r="R39" s="1">
        <v>1548</v>
      </c>
      <c r="S39" s="1">
        <v>20</v>
      </c>
      <c r="T39" s="1">
        <f t="shared" si="1"/>
        <v>6192</v>
      </c>
      <c r="U39" s="1">
        <f t="shared" si="2"/>
        <v>4920</v>
      </c>
      <c r="V39" s="1">
        <f t="shared" si="3"/>
        <v>1272</v>
      </c>
      <c r="W39" s="1" t="s">
        <v>44</v>
      </c>
      <c r="X39" s="1" t="s">
        <v>45</v>
      </c>
      <c r="Y39" s="1" t="s">
        <v>35</v>
      </c>
    </row>
    <row r="40" spans="1:25" x14ac:dyDescent="0.3">
      <c r="A40" s="1" t="s">
        <v>181</v>
      </c>
      <c r="B40" s="1" t="s">
        <v>182</v>
      </c>
      <c r="C40" s="1" t="str">
        <f t="shared" si="0"/>
        <v>May</v>
      </c>
      <c r="D40" s="1" t="s">
        <v>38</v>
      </c>
      <c r="E40" s="1" t="s">
        <v>183</v>
      </c>
      <c r="F40" s="1" t="s">
        <v>25</v>
      </c>
      <c r="G40" s="1">
        <v>19</v>
      </c>
      <c r="H40" s="1" t="s">
        <v>62</v>
      </c>
      <c r="I40" s="1" t="s">
        <v>63</v>
      </c>
      <c r="J40" s="1" t="s">
        <v>53</v>
      </c>
      <c r="K40" s="1" t="s">
        <v>54</v>
      </c>
      <c r="L40" s="1" t="s">
        <v>54</v>
      </c>
      <c r="M40" s="1" t="s">
        <v>65</v>
      </c>
      <c r="N40" s="1" t="s">
        <v>56</v>
      </c>
      <c r="O40" s="1" t="s">
        <v>71</v>
      </c>
      <c r="P40" s="1">
        <v>4</v>
      </c>
      <c r="Q40" s="1">
        <v>741</v>
      </c>
      <c r="R40" s="1">
        <v>1271</v>
      </c>
      <c r="S40" s="1">
        <v>20</v>
      </c>
      <c r="T40" s="1">
        <f t="shared" si="1"/>
        <v>4067.2000000000003</v>
      </c>
      <c r="U40" s="1">
        <f t="shared" si="2"/>
        <v>2964</v>
      </c>
      <c r="V40" s="1">
        <f t="shared" si="3"/>
        <v>1103.2000000000003</v>
      </c>
      <c r="W40" s="1" t="s">
        <v>33</v>
      </c>
      <c r="X40" s="1" t="s">
        <v>34</v>
      </c>
      <c r="Y40" s="1" t="s">
        <v>35</v>
      </c>
    </row>
    <row r="41" spans="1:25" x14ac:dyDescent="0.3">
      <c r="A41" s="1" t="s">
        <v>184</v>
      </c>
      <c r="B41" s="1" t="s">
        <v>185</v>
      </c>
      <c r="C41" s="1" t="str">
        <f t="shared" si="0"/>
        <v>September</v>
      </c>
      <c r="D41" s="1" t="s">
        <v>89</v>
      </c>
      <c r="E41" s="1" t="s">
        <v>186</v>
      </c>
      <c r="F41" s="1" t="s">
        <v>51</v>
      </c>
      <c r="G41" s="1">
        <v>24</v>
      </c>
      <c r="H41" s="1" t="s">
        <v>26</v>
      </c>
      <c r="I41" s="1" t="s">
        <v>27</v>
      </c>
      <c r="J41" s="1" t="s">
        <v>28</v>
      </c>
      <c r="K41" s="1" t="s">
        <v>100</v>
      </c>
      <c r="L41" s="1" t="s">
        <v>100</v>
      </c>
      <c r="M41" s="1" t="s">
        <v>86</v>
      </c>
      <c r="N41" s="1" t="s">
        <v>70</v>
      </c>
      <c r="O41" s="1" t="s">
        <v>113</v>
      </c>
      <c r="P41" s="1">
        <v>2</v>
      </c>
      <c r="Q41" s="1">
        <v>346</v>
      </c>
      <c r="R41" s="1">
        <v>1057</v>
      </c>
      <c r="S41" s="1">
        <v>15</v>
      </c>
      <c r="T41" s="1">
        <f t="shared" si="1"/>
        <v>1796.8999999999999</v>
      </c>
      <c r="U41" s="1">
        <f t="shared" si="2"/>
        <v>692</v>
      </c>
      <c r="V41" s="1">
        <f t="shared" si="3"/>
        <v>1104.8999999999999</v>
      </c>
      <c r="W41" s="1" t="s">
        <v>66</v>
      </c>
      <c r="X41" s="1" t="s">
        <v>34</v>
      </c>
      <c r="Y41" s="1" t="s">
        <v>35</v>
      </c>
    </row>
    <row r="42" spans="1:25" x14ac:dyDescent="0.3">
      <c r="A42" s="1" t="s">
        <v>187</v>
      </c>
      <c r="B42" s="1" t="s">
        <v>188</v>
      </c>
      <c r="C42" s="1" t="str">
        <f t="shared" si="0"/>
        <v>May</v>
      </c>
      <c r="D42" s="1" t="s">
        <v>127</v>
      </c>
      <c r="E42" s="1" t="s">
        <v>189</v>
      </c>
      <c r="F42" s="1" t="s">
        <v>25</v>
      </c>
      <c r="G42" s="1">
        <v>32</v>
      </c>
      <c r="H42" s="1" t="s">
        <v>26</v>
      </c>
      <c r="I42" s="1" t="s">
        <v>27</v>
      </c>
      <c r="J42" s="1" t="s">
        <v>28</v>
      </c>
      <c r="K42" s="1" t="s">
        <v>29</v>
      </c>
      <c r="L42" s="1" t="s">
        <v>29</v>
      </c>
      <c r="M42" s="1" t="s">
        <v>82</v>
      </c>
      <c r="N42" s="1" t="s">
        <v>56</v>
      </c>
      <c r="O42" s="1" t="s">
        <v>57</v>
      </c>
      <c r="P42" s="1">
        <v>3</v>
      </c>
      <c r="Q42" s="1">
        <v>493</v>
      </c>
      <c r="R42" s="1">
        <v>1048</v>
      </c>
      <c r="S42" s="1">
        <v>10</v>
      </c>
      <c r="T42" s="1">
        <f t="shared" si="1"/>
        <v>2829.6</v>
      </c>
      <c r="U42" s="1">
        <f t="shared" si="2"/>
        <v>1479</v>
      </c>
      <c r="V42" s="1">
        <f t="shared" si="3"/>
        <v>1350.6</v>
      </c>
      <c r="W42" s="1" t="s">
        <v>44</v>
      </c>
      <c r="X42" s="1" t="s">
        <v>34</v>
      </c>
      <c r="Y42" s="1" t="s">
        <v>46</v>
      </c>
    </row>
    <row r="43" spans="1:25" x14ac:dyDescent="0.3">
      <c r="A43" s="1" t="s">
        <v>190</v>
      </c>
      <c r="B43" s="1" t="s">
        <v>191</v>
      </c>
      <c r="C43" s="1" t="str">
        <f t="shared" si="0"/>
        <v>December</v>
      </c>
      <c r="D43" s="1" t="s">
        <v>78</v>
      </c>
      <c r="E43" s="1" t="s">
        <v>192</v>
      </c>
      <c r="F43" s="1" t="s">
        <v>51</v>
      </c>
      <c r="G43" s="1">
        <v>38</v>
      </c>
      <c r="H43" s="1" t="s">
        <v>91</v>
      </c>
      <c r="I43" s="1" t="s">
        <v>92</v>
      </c>
      <c r="J43" s="1" t="s">
        <v>53</v>
      </c>
      <c r="K43" s="1" t="s">
        <v>64</v>
      </c>
      <c r="L43" s="1" t="s">
        <v>64</v>
      </c>
      <c r="M43" s="1" t="s">
        <v>82</v>
      </c>
      <c r="N43" s="1" t="s">
        <v>70</v>
      </c>
      <c r="O43" s="1" t="s">
        <v>113</v>
      </c>
      <c r="P43" s="1">
        <v>3</v>
      </c>
      <c r="Q43" s="1">
        <v>1307</v>
      </c>
      <c r="R43" s="1">
        <v>1854</v>
      </c>
      <c r="S43" s="1">
        <v>15</v>
      </c>
      <c r="T43" s="1">
        <f t="shared" si="1"/>
        <v>4727.7</v>
      </c>
      <c r="U43" s="1">
        <f t="shared" si="2"/>
        <v>3921</v>
      </c>
      <c r="V43" s="1">
        <f t="shared" si="3"/>
        <v>806.69999999999982</v>
      </c>
      <c r="W43" s="1" t="s">
        <v>44</v>
      </c>
      <c r="X43" s="1" t="s">
        <v>34</v>
      </c>
      <c r="Y43" s="1" t="s">
        <v>46</v>
      </c>
    </row>
    <row r="44" spans="1:25" x14ac:dyDescent="0.3">
      <c r="A44" s="1" t="s">
        <v>193</v>
      </c>
      <c r="B44" s="1" t="s">
        <v>194</v>
      </c>
      <c r="C44" s="1" t="str">
        <f t="shared" si="0"/>
        <v>October</v>
      </c>
      <c r="D44" s="1" t="s">
        <v>68</v>
      </c>
      <c r="E44" s="1" t="s">
        <v>195</v>
      </c>
      <c r="F44" s="1" t="s">
        <v>25</v>
      </c>
      <c r="G44" s="1">
        <v>22</v>
      </c>
      <c r="H44" s="1" t="s">
        <v>52</v>
      </c>
      <c r="I44" s="1" t="s">
        <v>52</v>
      </c>
      <c r="J44" s="1" t="s">
        <v>53</v>
      </c>
      <c r="K44" s="1" t="s">
        <v>64</v>
      </c>
      <c r="L44" s="1" t="s">
        <v>64</v>
      </c>
      <c r="M44" s="1" t="s">
        <v>82</v>
      </c>
      <c r="N44" s="1" t="s">
        <v>31</v>
      </c>
      <c r="O44" s="1" t="s">
        <v>43</v>
      </c>
      <c r="P44" s="1">
        <v>4</v>
      </c>
      <c r="Q44" s="1">
        <v>763</v>
      </c>
      <c r="R44" s="1">
        <v>1552</v>
      </c>
      <c r="S44" s="1">
        <v>5</v>
      </c>
      <c r="T44" s="1">
        <f t="shared" si="1"/>
        <v>5897.5999999999995</v>
      </c>
      <c r="U44" s="1">
        <f t="shared" si="2"/>
        <v>3052</v>
      </c>
      <c r="V44" s="1">
        <f t="shared" si="3"/>
        <v>2845.5999999999995</v>
      </c>
      <c r="W44" s="1" t="s">
        <v>33</v>
      </c>
      <c r="X44" s="1" t="s">
        <v>45</v>
      </c>
      <c r="Y44" s="1" t="s">
        <v>35</v>
      </c>
    </row>
    <row r="45" spans="1:25" x14ac:dyDescent="0.3">
      <c r="A45" s="1" t="s">
        <v>196</v>
      </c>
      <c r="B45" s="1" t="s">
        <v>197</v>
      </c>
      <c r="C45" s="1" t="str">
        <f t="shared" si="0"/>
        <v>August</v>
      </c>
      <c r="D45" s="1" t="s">
        <v>68</v>
      </c>
      <c r="E45" s="1" t="s">
        <v>198</v>
      </c>
      <c r="F45" s="1" t="s">
        <v>25</v>
      </c>
      <c r="G45" s="1">
        <v>31</v>
      </c>
      <c r="H45" s="1" t="s">
        <v>62</v>
      </c>
      <c r="I45" s="1" t="s">
        <v>63</v>
      </c>
      <c r="J45" s="1" t="s">
        <v>28</v>
      </c>
      <c r="K45" s="1" t="s">
        <v>100</v>
      </c>
      <c r="L45" s="1" t="s">
        <v>100</v>
      </c>
      <c r="M45" s="1" t="s">
        <v>65</v>
      </c>
      <c r="N45" s="1" t="s">
        <v>70</v>
      </c>
      <c r="O45" s="1" t="s">
        <v>32</v>
      </c>
      <c r="P45" s="1">
        <v>2</v>
      </c>
      <c r="Q45" s="1">
        <v>342</v>
      </c>
      <c r="R45" s="1">
        <v>641</v>
      </c>
      <c r="S45" s="1">
        <v>20</v>
      </c>
      <c r="T45" s="1">
        <f t="shared" si="1"/>
        <v>1025.6000000000001</v>
      </c>
      <c r="U45" s="1">
        <f t="shared" si="2"/>
        <v>684</v>
      </c>
      <c r="V45" s="1">
        <f t="shared" si="3"/>
        <v>341.60000000000014</v>
      </c>
      <c r="W45" s="1" t="s">
        <v>66</v>
      </c>
      <c r="X45" s="1" t="s">
        <v>45</v>
      </c>
      <c r="Y45" s="1" t="s">
        <v>35</v>
      </c>
    </row>
    <row r="46" spans="1:25" x14ac:dyDescent="0.3">
      <c r="A46" s="1" t="s">
        <v>199</v>
      </c>
      <c r="B46" s="1" t="s">
        <v>48</v>
      </c>
      <c r="C46" s="1" t="str">
        <f t="shared" si="0"/>
        <v>November</v>
      </c>
      <c r="D46" s="1" t="s">
        <v>38</v>
      </c>
      <c r="E46" s="1" t="s">
        <v>200</v>
      </c>
      <c r="F46" s="1" t="s">
        <v>25</v>
      </c>
      <c r="G46" s="1">
        <v>48</v>
      </c>
      <c r="H46" s="1" t="s">
        <v>62</v>
      </c>
      <c r="I46" s="1" t="s">
        <v>63</v>
      </c>
      <c r="J46" s="1" t="s">
        <v>28</v>
      </c>
      <c r="K46" s="1" t="s">
        <v>29</v>
      </c>
      <c r="L46" s="1" t="s">
        <v>29</v>
      </c>
      <c r="M46" s="1" t="s">
        <v>55</v>
      </c>
      <c r="N46" s="1" t="s">
        <v>31</v>
      </c>
      <c r="O46" s="1" t="s">
        <v>71</v>
      </c>
      <c r="P46" s="1">
        <v>5</v>
      </c>
      <c r="Q46" s="1">
        <v>592</v>
      </c>
      <c r="R46" s="1">
        <v>757</v>
      </c>
      <c r="S46" s="1">
        <v>15</v>
      </c>
      <c r="T46" s="1">
        <f t="shared" si="1"/>
        <v>3217.25</v>
      </c>
      <c r="U46" s="1">
        <f t="shared" si="2"/>
        <v>2960</v>
      </c>
      <c r="V46" s="1">
        <f t="shared" si="3"/>
        <v>257.25</v>
      </c>
      <c r="W46" s="1" t="s">
        <v>33</v>
      </c>
      <c r="X46" s="1" t="s">
        <v>34</v>
      </c>
      <c r="Y46" s="1" t="s">
        <v>46</v>
      </c>
    </row>
    <row r="47" spans="1:25" x14ac:dyDescent="0.3">
      <c r="A47" s="1" t="s">
        <v>201</v>
      </c>
      <c r="B47" s="1" t="s">
        <v>202</v>
      </c>
      <c r="C47" s="1" t="str">
        <f t="shared" si="0"/>
        <v>March</v>
      </c>
      <c r="D47" s="1" t="s">
        <v>60</v>
      </c>
      <c r="E47" s="1" t="s">
        <v>148</v>
      </c>
      <c r="F47" s="1" t="s">
        <v>25</v>
      </c>
      <c r="G47" s="1">
        <v>42</v>
      </c>
      <c r="H47" s="1" t="s">
        <v>26</v>
      </c>
      <c r="I47" s="1" t="s">
        <v>27</v>
      </c>
      <c r="J47" s="1" t="s">
        <v>28</v>
      </c>
      <c r="K47" s="1" t="s">
        <v>29</v>
      </c>
      <c r="L47" s="1" t="s">
        <v>29</v>
      </c>
      <c r="M47" s="1" t="s">
        <v>65</v>
      </c>
      <c r="N47" s="1" t="s">
        <v>42</v>
      </c>
      <c r="O47" s="1" t="s">
        <v>57</v>
      </c>
      <c r="P47" s="1">
        <v>3</v>
      </c>
      <c r="Q47" s="1">
        <v>751</v>
      </c>
      <c r="R47" s="1">
        <v>1444</v>
      </c>
      <c r="S47" s="1">
        <v>15</v>
      </c>
      <c r="T47" s="1">
        <f t="shared" si="1"/>
        <v>3682.2</v>
      </c>
      <c r="U47" s="1">
        <f t="shared" si="2"/>
        <v>2253</v>
      </c>
      <c r="V47" s="1">
        <f t="shared" si="3"/>
        <v>1429.1999999999998</v>
      </c>
      <c r="W47" s="1" t="s">
        <v>33</v>
      </c>
      <c r="X47" s="1" t="s">
        <v>34</v>
      </c>
      <c r="Y47" s="1" t="s">
        <v>124</v>
      </c>
    </row>
    <row r="48" spans="1:25" x14ac:dyDescent="0.3">
      <c r="A48" s="1" t="s">
        <v>203</v>
      </c>
      <c r="B48" s="1" t="s">
        <v>142</v>
      </c>
      <c r="C48" s="1" t="str">
        <f t="shared" si="0"/>
        <v>August</v>
      </c>
      <c r="D48" s="1" t="s">
        <v>38</v>
      </c>
      <c r="E48" s="1" t="s">
        <v>204</v>
      </c>
      <c r="F48" s="1" t="s">
        <v>51</v>
      </c>
      <c r="G48" s="1">
        <v>39</v>
      </c>
      <c r="H48" s="1" t="s">
        <v>26</v>
      </c>
      <c r="I48" s="1" t="s">
        <v>27</v>
      </c>
      <c r="J48" s="1" t="s">
        <v>28</v>
      </c>
      <c r="K48" s="1" t="s">
        <v>29</v>
      </c>
      <c r="L48" s="1" t="s">
        <v>29</v>
      </c>
      <c r="M48" s="1" t="s">
        <v>55</v>
      </c>
      <c r="N48" s="1" t="s">
        <v>56</v>
      </c>
      <c r="O48" s="1" t="s">
        <v>43</v>
      </c>
      <c r="P48" s="1">
        <v>2</v>
      </c>
      <c r="Q48" s="1">
        <v>1018</v>
      </c>
      <c r="R48" s="1">
        <v>1717</v>
      </c>
      <c r="S48" s="1">
        <v>10</v>
      </c>
      <c r="T48" s="1">
        <f t="shared" si="1"/>
        <v>3090.6</v>
      </c>
      <c r="U48" s="1">
        <f t="shared" si="2"/>
        <v>2036</v>
      </c>
      <c r="V48" s="1">
        <f t="shared" si="3"/>
        <v>1054.5999999999999</v>
      </c>
      <c r="W48" s="1" t="s">
        <v>44</v>
      </c>
      <c r="X48" s="1" t="s">
        <v>45</v>
      </c>
      <c r="Y48" s="1" t="s">
        <v>46</v>
      </c>
    </row>
    <row r="49" spans="1:25" x14ac:dyDescent="0.3">
      <c r="A49" s="1" t="s">
        <v>205</v>
      </c>
      <c r="B49" s="1" t="s">
        <v>206</v>
      </c>
      <c r="C49" s="1" t="str">
        <f t="shared" si="0"/>
        <v>July</v>
      </c>
      <c r="D49" s="1" t="s">
        <v>68</v>
      </c>
      <c r="E49" s="1" t="s">
        <v>137</v>
      </c>
      <c r="F49" s="1" t="s">
        <v>25</v>
      </c>
      <c r="G49" s="1">
        <v>48</v>
      </c>
      <c r="H49" s="1" t="s">
        <v>91</v>
      </c>
      <c r="I49" s="1" t="s">
        <v>92</v>
      </c>
      <c r="J49" s="1" t="s">
        <v>53</v>
      </c>
      <c r="K49" s="1" t="s">
        <v>54</v>
      </c>
      <c r="L49" s="1" t="s">
        <v>54</v>
      </c>
      <c r="M49" s="1" t="s">
        <v>86</v>
      </c>
      <c r="N49" s="1" t="s">
        <v>70</v>
      </c>
      <c r="O49" s="1" t="s">
        <v>32</v>
      </c>
      <c r="P49" s="1">
        <v>5</v>
      </c>
      <c r="Q49" s="1">
        <v>639</v>
      </c>
      <c r="R49" s="1">
        <v>1094</v>
      </c>
      <c r="S49" s="1">
        <v>10</v>
      </c>
      <c r="T49" s="1">
        <f t="shared" si="1"/>
        <v>4923</v>
      </c>
      <c r="U49" s="1">
        <f t="shared" si="2"/>
        <v>3195</v>
      </c>
      <c r="V49" s="1">
        <f t="shared" si="3"/>
        <v>1728</v>
      </c>
      <c r="W49" s="1" t="s">
        <v>33</v>
      </c>
      <c r="X49" s="1" t="s">
        <v>34</v>
      </c>
      <c r="Y49" s="1" t="s">
        <v>124</v>
      </c>
    </row>
    <row r="50" spans="1:25" x14ac:dyDescent="0.3">
      <c r="A50" s="1" t="s">
        <v>207</v>
      </c>
      <c r="B50" s="1" t="s">
        <v>208</v>
      </c>
      <c r="C50" s="1" t="str">
        <f t="shared" si="0"/>
        <v>March</v>
      </c>
      <c r="D50" s="1" t="s">
        <v>60</v>
      </c>
      <c r="E50" s="1" t="s">
        <v>209</v>
      </c>
      <c r="F50" s="1" t="s">
        <v>51</v>
      </c>
      <c r="G50" s="1">
        <v>50</v>
      </c>
      <c r="H50" s="1" t="s">
        <v>52</v>
      </c>
      <c r="I50" s="1" t="s">
        <v>52</v>
      </c>
      <c r="J50" s="1" t="s">
        <v>53</v>
      </c>
      <c r="K50" s="1" t="s">
        <v>64</v>
      </c>
      <c r="L50" s="1" t="s">
        <v>64</v>
      </c>
      <c r="M50" s="1" t="s">
        <v>30</v>
      </c>
      <c r="N50" s="1" t="s">
        <v>56</v>
      </c>
      <c r="O50" s="1" t="s">
        <v>113</v>
      </c>
      <c r="P50" s="1">
        <v>3</v>
      </c>
      <c r="Q50" s="1">
        <v>1378</v>
      </c>
      <c r="R50" s="1">
        <v>1504</v>
      </c>
      <c r="S50" s="1">
        <v>15</v>
      </c>
      <c r="T50" s="1">
        <f t="shared" si="1"/>
        <v>3835.2</v>
      </c>
      <c r="U50" s="1">
        <f t="shared" si="2"/>
        <v>4134</v>
      </c>
      <c r="V50" s="1">
        <f t="shared" si="3"/>
        <v>-298.80000000000018</v>
      </c>
      <c r="W50" s="1" t="s">
        <v>44</v>
      </c>
      <c r="X50" s="1" t="s">
        <v>45</v>
      </c>
      <c r="Y50" s="1" t="s">
        <v>124</v>
      </c>
    </row>
    <row r="51" spans="1:25" x14ac:dyDescent="0.3">
      <c r="A51" s="1" t="s">
        <v>210</v>
      </c>
      <c r="B51" s="1" t="s">
        <v>211</v>
      </c>
      <c r="C51" s="1" t="str">
        <f t="shared" si="0"/>
        <v>March</v>
      </c>
      <c r="D51" s="1" t="s">
        <v>127</v>
      </c>
      <c r="E51" s="1" t="s">
        <v>69</v>
      </c>
      <c r="F51" s="1" t="s">
        <v>25</v>
      </c>
      <c r="G51" s="1">
        <v>30</v>
      </c>
      <c r="H51" s="1" t="s">
        <v>62</v>
      </c>
      <c r="I51" s="1" t="s">
        <v>63</v>
      </c>
      <c r="J51" s="1" t="s">
        <v>80</v>
      </c>
      <c r="K51" s="1" t="s">
        <v>81</v>
      </c>
      <c r="L51" s="1" t="s">
        <v>81</v>
      </c>
      <c r="M51" s="1" t="s">
        <v>82</v>
      </c>
      <c r="N51" s="1" t="s">
        <v>56</v>
      </c>
      <c r="O51" s="1" t="s">
        <v>32</v>
      </c>
      <c r="P51" s="1">
        <v>5</v>
      </c>
      <c r="Q51" s="1">
        <v>966</v>
      </c>
      <c r="R51" s="1">
        <v>1069</v>
      </c>
      <c r="S51" s="1">
        <v>5</v>
      </c>
      <c r="T51" s="1">
        <f t="shared" si="1"/>
        <v>5077.75</v>
      </c>
      <c r="U51" s="1">
        <f t="shared" si="2"/>
        <v>4830</v>
      </c>
      <c r="V51" s="1">
        <f t="shared" si="3"/>
        <v>247.75</v>
      </c>
      <c r="W51" s="1" t="s">
        <v>33</v>
      </c>
      <c r="X51" s="1" t="s">
        <v>34</v>
      </c>
      <c r="Y51" s="1" t="s">
        <v>35</v>
      </c>
    </row>
    <row r="52" spans="1:25" x14ac:dyDescent="0.3">
      <c r="A52" s="1" t="s">
        <v>212</v>
      </c>
      <c r="B52" s="1" t="s">
        <v>213</v>
      </c>
      <c r="C52" s="1" t="str">
        <f t="shared" si="0"/>
        <v>December</v>
      </c>
      <c r="D52" s="1" t="s">
        <v>68</v>
      </c>
      <c r="E52" s="1" t="s">
        <v>154</v>
      </c>
      <c r="F52" s="1" t="s">
        <v>25</v>
      </c>
      <c r="G52" s="1">
        <v>53</v>
      </c>
      <c r="H52" s="1" t="s">
        <v>40</v>
      </c>
      <c r="I52" s="1" t="s">
        <v>41</v>
      </c>
      <c r="J52" s="1" t="s">
        <v>80</v>
      </c>
      <c r="K52" s="1" t="s">
        <v>81</v>
      </c>
      <c r="L52" s="1" t="s">
        <v>81</v>
      </c>
      <c r="M52" s="1" t="s">
        <v>86</v>
      </c>
      <c r="N52" s="1" t="s">
        <v>56</v>
      </c>
      <c r="O52" s="1" t="s">
        <v>32</v>
      </c>
      <c r="P52" s="1">
        <v>2</v>
      </c>
      <c r="Q52" s="1">
        <v>1217</v>
      </c>
      <c r="R52" s="1">
        <v>1718</v>
      </c>
      <c r="S52" s="1">
        <v>5</v>
      </c>
      <c r="T52" s="1">
        <f t="shared" si="1"/>
        <v>3264.2</v>
      </c>
      <c r="U52" s="1">
        <f t="shared" si="2"/>
        <v>2434</v>
      </c>
      <c r="V52" s="1">
        <f t="shared" si="3"/>
        <v>830.19999999999982</v>
      </c>
      <c r="W52" s="1" t="s">
        <v>66</v>
      </c>
      <c r="X52" s="1" t="s">
        <v>34</v>
      </c>
      <c r="Y52" s="1" t="s">
        <v>46</v>
      </c>
    </row>
    <row r="53" spans="1:25" x14ac:dyDescent="0.3">
      <c r="A53" s="1" t="s">
        <v>214</v>
      </c>
      <c r="B53" s="1" t="s">
        <v>215</v>
      </c>
      <c r="C53" s="1" t="str">
        <f t="shared" si="0"/>
        <v>August</v>
      </c>
      <c r="D53" s="1" t="s">
        <v>68</v>
      </c>
      <c r="E53" s="1" t="s">
        <v>216</v>
      </c>
      <c r="F53" s="1" t="s">
        <v>51</v>
      </c>
      <c r="G53" s="1">
        <v>43</v>
      </c>
      <c r="H53" s="1" t="s">
        <v>40</v>
      </c>
      <c r="I53" s="1" t="s">
        <v>41</v>
      </c>
      <c r="J53" s="1" t="s">
        <v>80</v>
      </c>
      <c r="K53" s="1" t="s">
        <v>117</v>
      </c>
      <c r="L53" s="1" t="s">
        <v>117</v>
      </c>
      <c r="M53" s="1" t="s">
        <v>55</v>
      </c>
      <c r="N53" s="1" t="s">
        <v>42</v>
      </c>
      <c r="O53" s="1" t="s">
        <v>113</v>
      </c>
      <c r="P53" s="1">
        <v>5</v>
      </c>
      <c r="Q53" s="1">
        <v>955</v>
      </c>
      <c r="R53" s="1">
        <v>1171</v>
      </c>
      <c r="S53" s="1">
        <v>15</v>
      </c>
      <c r="T53" s="1">
        <f t="shared" si="1"/>
        <v>4976.75</v>
      </c>
      <c r="U53" s="1">
        <f t="shared" si="2"/>
        <v>4775</v>
      </c>
      <c r="V53" s="1">
        <f t="shared" si="3"/>
        <v>201.75</v>
      </c>
      <c r="W53" s="1" t="s">
        <v>33</v>
      </c>
      <c r="X53" s="1" t="s">
        <v>45</v>
      </c>
      <c r="Y53" s="1" t="s">
        <v>124</v>
      </c>
    </row>
    <row r="54" spans="1:25" x14ac:dyDescent="0.3">
      <c r="A54" s="1" t="s">
        <v>217</v>
      </c>
      <c r="B54" s="1" t="s">
        <v>218</v>
      </c>
      <c r="C54" s="1" t="str">
        <f t="shared" si="0"/>
        <v>August</v>
      </c>
      <c r="D54" s="1" t="s">
        <v>49</v>
      </c>
      <c r="E54" s="1" t="s">
        <v>219</v>
      </c>
      <c r="F54" s="1" t="s">
        <v>25</v>
      </c>
      <c r="G54" s="1">
        <v>48</v>
      </c>
      <c r="H54" s="1" t="s">
        <v>52</v>
      </c>
      <c r="I54" s="1" t="s">
        <v>52</v>
      </c>
      <c r="J54" s="1" t="s">
        <v>28</v>
      </c>
      <c r="K54" s="1" t="s">
        <v>29</v>
      </c>
      <c r="L54" s="1" t="s">
        <v>29</v>
      </c>
      <c r="M54" s="1" t="s">
        <v>65</v>
      </c>
      <c r="N54" s="1" t="s">
        <v>70</v>
      </c>
      <c r="O54" s="1" t="s">
        <v>113</v>
      </c>
      <c r="P54" s="1">
        <v>1</v>
      </c>
      <c r="Q54" s="1">
        <v>1163</v>
      </c>
      <c r="R54" s="1">
        <v>1580</v>
      </c>
      <c r="S54" s="1">
        <v>0</v>
      </c>
      <c r="T54" s="1">
        <f t="shared" si="1"/>
        <v>1580</v>
      </c>
      <c r="U54" s="1">
        <f t="shared" si="2"/>
        <v>1163</v>
      </c>
      <c r="V54" s="1">
        <f t="shared" si="3"/>
        <v>417</v>
      </c>
      <c r="W54" s="1" t="s">
        <v>33</v>
      </c>
      <c r="X54" s="1" t="s">
        <v>34</v>
      </c>
      <c r="Y54" s="1" t="s">
        <v>46</v>
      </c>
    </row>
    <row r="55" spans="1:25" x14ac:dyDescent="0.3">
      <c r="A55" s="1" t="s">
        <v>220</v>
      </c>
      <c r="B55" s="1" t="s">
        <v>221</v>
      </c>
      <c r="C55" s="1" t="str">
        <f t="shared" si="0"/>
        <v>April</v>
      </c>
      <c r="D55" s="1" t="s">
        <v>98</v>
      </c>
      <c r="E55" s="1" t="s">
        <v>222</v>
      </c>
      <c r="F55" s="1" t="s">
        <v>25</v>
      </c>
      <c r="G55" s="1">
        <v>52</v>
      </c>
      <c r="H55" s="1" t="s">
        <v>40</v>
      </c>
      <c r="I55" s="1" t="s">
        <v>41</v>
      </c>
      <c r="J55" s="1" t="s">
        <v>80</v>
      </c>
      <c r="K55" s="1" t="s">
        <v>117</v>
      </c>
      <c r="L55" s="1" t="s">
        <v>117</v>
      </c>
      <c r="M55" s="1" t="s">
        <v>55</v>
      </c>
      <c r="N55" s="1" t="s">
        <v>42</v>
      </c>
      <c r="O55" s="1" t="s">
        <v>57</v>
      </c>
      <c r="P55" s="1">
        <v>4</v>
      </c>
      <c r="Q55" s="1">
        <v>710</v>
      </c>
      <c r="R55" s="1">
        <v>931</v>
      </c>
      <c r="S55" s="1">
        <v>5</v>
      </c>
      <c r="T55" s="1">
        <f t="shared" si="1"/>
        <v>3537.7999999999997</v>
      </c>
      <c r="U55" s="1">
        <f t="shared" si="2"/>
        <v>2840</v>
      </c>
      <c r="V55" s="1">
        <f t="shared" si="3"/>
        <v>697.79999999999973</v>
      </c>
      <c r="W55" s="1" t="s">
        <v>66</v>
      </c>
      <c r="X55" s="1" t="s">
        <v>34</v>
      </c>
      <c r="Y55" s="1" t="s">
        <v>124</v>
      </c>
    </row>
    <row r="56" spans="1:25" x14ac:dyDescent="0.3">
      <c r="A56" s="1" t="s">
        <v>223</v>
      </c>
      <c r="B56" s="1" t="s">
        <v>224</v>
      </c>
      <c r="C56" s="1" t="str">
        <f t="shared" si="0"/>
        <v>May</v>
      </c>
      <c r="D56" s="1" t="s">
        <v>49</v>
      </c>
      <c r="E56" s="1" t="s">
        <v>123</v>
      </c>
      <c r="F56" s="1" t="s">
        <v>51</v>
      </c>
      <c r="G56" s="1">
        <v>33</v>
      </c>
      <c r="H56" s="1" t="s">
        <v>26</v>
      </c>
      <c r="I56" s="1" t="s">
        <v>27</v>
      </c>
      <c r="J56" s="1" t="s">
        <v>53</v>
      </c>
      <c r="K56" s="1" t="s">
        <v>64</v>
      </c>
      <c r="L56" s="1" t="s">
        <v>64</v>
      </c>
      <c r="M56" s="1" t="s">
        <v>55</v>
      </c>
      <c r="N56" s="1" t="s">
        <v>56</v>
      </c>
      <c r="O56" s="1" t="s">
        <v>71</v>
      </c>
      <c r="P56" s="1">
        <v>2</v>
      </c>
      <c r="Q56" s="1">
        <v>511</v>
      </c>
      <c r="R56" s="1">
        <v>913</v>
      </c>
      <c r="S56" s="1">
        <v>15</v>
      </c>
      <c r="T56" s="1">
        <f t="shared" si="1"/>
        <v>1552.1</v>
      </c>
      <c r="U56" s="1">
        <f t="shared" si="2"/>
        <v>1022</v>
      </c>
      <c r="V56" s="1">
        <f t="shared" si="3"/>
        <v>530.09999999999991</v>
      </c>
      <c r="W56" s="1" t="s">
        <v>33</v>
      </c>
      <c r="X56" s="1" t="s">
        <v>34</v>
      </c>
      <c r="Y56" s="1" t="s">
        <v>124</v>
      </c>
    </row>
    <row r="57" spans="1:25" x14ac:dyDescent="0.3">
      <c r="A57" s="1" t="s">
        <v>225</v>
      </c>
      <c r="B57" s="1" t="s">
        <v>226</v>
      </c>
      <c r="C57" s="1" t="str">
        <f t="shared" si="0"/>
        <v>June</v>
      </c>
      <c r="D57" s="1" t="s">
        <v>68</v>
      </c>
      <c r="E57" s="1" t="s">
        <v>227</v>
      </c>
      <c r="F57" s="1" t="s">
        <v>51</v>
      </c>
      <c r="G57" s="1">
        <v>38</v>
      </c>
      <c r="H57" s="1" t="s">
        <v>52</v>
      </c>
      <c r="I57" s="1" t="s">
        <v>52</v>
      </c>
      <c r="J57" s="1" t="s">
        <v>28</v>
      </c>
      <c r="K57" s="1" t="s">
        <v>100</v>
      </c>
      <c r="L57" s="1" t="s">
        <v>100</v>
      </c>
      <c r="M57" s="1" t="s">
        <v>82</v>
      </c>
      <c r="N57" s="1" t="s">
        <v>70</v>
      </c>
      <c r="O57" s="1" t="s">
        <v>43</v>
      </c>
      <c r="P57" s="1">
        <v>5</v>
      </c>
      <c r="Q57" s="1">
        <v>464</v>
      </c>
      <c r="R57" s="1">
        <v>787</v>
      </c>
      <c r="S57" s="1">
        <v>5</v>
      </c>
      <c r="T57" s="1">
        <f t="shared" si="1"/>
        <v>3738.25</v>
      </c>
      <c r="U57" s="1">
        <f t="shared" si="2"/>
        <v>2320</v>
      </c>
      <c r="V57" s="1">
        <f t="shared" si="3"/>
        <v>1418.25</v>
      </c>
      <c r="W57" s="1" t="s">
        <v>33</v>
      </c>
      <c r="X57" s="1" t="s">
        <v>34</v>
      </c>
      <c r="Y57" s="1" t="s">
        <v>35</v>
      </c>
    </row>
    <row r="58" spans="1:25" x14ac:dyDescent="0.3">
      <c r="A58" s="1" t="s">
        <v>228</v>
      </c>
      <c r="B58" s="1" t="s">
        <v>229</v>
      </c>
      <c r="C58" s="1" t="str">
        <f t="shared" si="0"/>
        <v>November</v>
      </c>
      <c r="D58" s="1" t="s">
        <v>85</v>
      </c>
      <c r="E58" s="1" t="s">
        <v>99</v>
      </c>
      <c r="F58" s="1" t="s">
        <v>51</v>
      </c>
      <c r="G58" s="1">
        <v>20</v>
      </c>
      <c r="H58" s="1" t="s">
        <v>52</v>
      </c>
      <c r="I58" s="1" t="s">
        <v>52</v>
      </c>
      <c r="J58" s="1" t="s">
        <v>28</v>
      </c>
      <c r="K58" s="1" t="s">
        <v>29</v>
      </c>
      <c r="L58" s="1" t="s">
        <v>29</v>
      </c>
      <c r="M58" s="1" t="s">
        <v>55</v>
      </c>
      <c r="N58" s="1" t="s">
        <v>56</v>
      </c>
      <c r="O58" s="1" t="s">
        <v>43</v>
      </c>
      <c r="P58" s="1">
        <v>1</v>
      </c>
      <c r="Q58" s="1">
        <v>1126</v>
      </c>
      <c r="R58" s="1">
        <v>1671</v>
      </c>
      <c r="S58" s="1">
        <v>20</v>
      </c>
      <c r="T58" s="1">
        <f t="shared" si="1"/>
        <v>1336.8000000000002</v>
      </c>
      <c r="U58" s="1">
        <f t="shared" si="2"/>
        <v>1126</v>
      </c>
      <c r="V58" s="1">
        <f t="shared" si="3"/>
        <v>210.80000000000018</v>
      </c>
      <c r="W58" s="1" t="s">
        <v>66</v>
      </c>
      <c r="X58" s="1" t="s">
        <v>34</v>
      </c>
      <c r="Y58" s="1" t="s">
        <v>124</v>
      </c>
    </row>
    <row r="59" spans="1:25" x14ac:dyDescent="0.3">
      <c r="A59" s="1" t="s">
        <v>230</v>
      </c>
      <c r="B59" s="1" t="s">
        <v>231</v>
      </c>
      <c r="C59" s="1" t="str">
        <f t="shared" si="0"/>
        <v>December</v>
      </c>
      <c r="D59" s="1" t="s">
        <v>49</v>
      </c>
      <c r="E59" s="1" t="s">
        <v>232</v>
      </c>
      <c r="F59" s="1" t="s">
        <v>25</v>
      </c>
      <c r="G59" s="1">
        <v>26</v>
      </c>
      <c r="H59" s="1" t="s">
        <v>26</v>
      </c>
      <c r="I59" s="1" t="s">
        <v>27</v>
      </c>
      <c r="J59" s="1" t="s">
        <v>80</v>
      </c>
      <c r="K59" s="1" t="s">
        <v>117</v>
      </c>
      <c r="L59" s="1" t="s">
        <v>117</v>
      </c>
      <c r="M59" s="1" t="s">
        <v>30</v>
      </c>
      <c r="N59" s="1" t="s">
        <v>31</v>
      </c>
      <c r="O59" s="1" t="s">
        <v>57</v>
      </c>
      <c r="P59" s="1">
        <v>4</v>
      </c>
      <c r="Q59" s="1">
        <v>1391</v>
      </c>
      <c r="R59" s="1">
        <v>1941</v>
      </c>
      <c r="S59" s="1">
        <v>15</v>
      </c>
      <c r="T59" s="1">
        <f t="shared" si="1"/>
        <v>6599.4</v>
      </c>
      <c r="U59" s="1">
        <f t="shared" si="2"/>
        <v>5564</v>
      </c>
      <c r="V59" s="1">
        <f t="shared" si="3"/>
        <v>1035.3999999999996</v>
      </c>
      <c r="W59" s="1" t="s">
        <v>44</v>
      </c>
      <c r="X59" s="1" t="s">
        <v>34</v>
      </c>
      <c r="Y59" s="1" t="s">
        <v>124</v>
      </c>
    </row>
    <row r="60" spans="1:25" x14ac:dyDescent="0.3">
      <c r="A60" s="1" t="s">
        <v>233</v>
      </c>
      <c r="B60" s="1" t="s">
        <v>234</v>
      </c>
      <c r="C60" s="1" t="str">
        <f t="shared" si="0"/>
        <v>November</v>
      </c>
      <c r="D60" s="1" t="s">
        <v>89</v>
      </c>
      <c r="E60" s="1" t="s">
        <v>140</v>
      </c>
      <c r="F60" s="1" t="s">
        <v>25</v>
      </c>
      <c r="G60" s="1">
        <v>38</v>
      </c>
      <c r="H60" s="1" t="s">
        <v>62</v>
      </c>
      <c r="I60" s="1" t="s">
        <v>63</v>
      </c>
      <c r="J60" s="1" t="s">
        <v>80</v>
      </c>
      <c r="K60" s="1" t="s">
        <v>117</v>
      </c>
      <c r="L60" s="1" t="s">
        <v>117</v>
      </c>
      <c r="M60" s="1" t="s">
        <v>55</v>
      </c>
      <c r="N60" s="1" t="s">
        <v>31</v>
      </c>
      <c r="O60" s="1" t="s">
        <v>32</v>
      </c>
      <c r="P60" s="1">
        <v>2</v>
      </c>
      <c r="Q60" s="1">
        <v>1414</v>
      </c>
      <c r="R60" s="1">
        <v>2149</v>
      </c>
      <c r="S60" s="1">
        <v>15</v>
      </c>
      <c r="T60" s="1">
        <f t="shared" si="1"/>
        <v>3653.2999999999997</v>
      </c>
      <c r="U60" s="1">
        <f t="shared" si="2"/>
        <v>2828</v>
      </c>
      <c r="V60" s="1">
        <f t="shared" si="3"/>
        <v>825.29999999999973</v>
      </c>
      <c r="W60" s="1" t="s">
        <v>44</v>
      </c>
      <c r="X60" s="1" t="s">
        <v>34</v>
      </c>
      <c r="Y60" s="1" t="s">
        <v>35</v>
      </c>
    </row>
    <row r="61" spans="1:25" x14ac:dyDescent="0.3">
      <c r="A61" s="1" t="s">
        <v>235</v>
      </c>
      <c r="B61" s="1" t="s">
        <v>236</v>
      </c>
      <c r="C61" s="1" t="str">
        <f t="shared" si="0"/>
        <v>August</v>
      </c>
      <c r="D61" s="1" t="s">
        <v>89</v>
      </c>
      <c r="E61" s="1" t="s">
        <v>112</v>
      </c>
      <c r="F61" s="1" t="s">
        <v>25</v>
      </c>
      <c r="G61" s="1">
        <v>27</v>
      </c>
      <c r="H61" s="1" t="s">
        <v>26</v>
      </c>
      <c r="I61" s="1" t="s">
        <v>27</v>
      </c>
      <c r="J61" s="1" t="s">
        <v>53</v>
      </c>
      <c r="K61" s="1" t="s">
        <v>54</v>
      </c>
      <c r="L61" s="1" t="s">
        <v>54</v>
      </c>
      <c r="M61" s="1" t="s">
        <v>30</v>
      </c>
      <c r="N61" s="1" t="s">
        <v>31</v>
      </c>
      <c r="O61" s="1" t="s">
        <v>57</v>
      </c>
      <c r="P61" s="1">
        <v>5</v>
      </c>
      <c r="Q61" s="1">
        <v>1064</v>
      </c>
      <c r="R61" s="1">
        <v>1482</v>
      </c>
      <c r="S61" s="1">
        <v>15</v>
      </c>
      <c r="T61" s="1">
        <f t="shared" si="1"/>
        <v>6298.5</v>
      </c>
      <c r="U61" s="1">
        <f t="shared" si="2"/>
        <v>5320</v>
      </c>
      <c r="V61" s="1">
        <f t="shared" si="3"/>
        <v>978.5</v>
      </c>
      <c r="W61" s="1" t="s">
        <v>44</v>
      </c>
      <c r="X61" s="1" t="s">
        <v>34</v>
      </c>
      <c r="Y61" s="1" t="s">
        <v>35</v>
      </c>
    </row>
    <row r="62" spans="1:25" x14ac:dyDescent="0.3">
      <c r="A62" s="1" t="s">
        <v>237</v>
      </c>
      <c r="B62" s="1" t="s">
        <v>238</v>
      </c>
      <c r="C62" s="1" t="str">
        <f t="shared" si="0"/>
        <v>December</v>
      </c>
      <c r="D62" s="1" t="s">
        <v>38</v>
      </c>
      <c r="E62" s="1" t="s">
        <v>239</v>
      </c>
      <c r="F62" s="1" t="s">
        <v>51</v>
      </c>
      <c r="G62" s="1">
        <v>46</v>
      </c>
      <c r="H62" s="1" t="s">
        <v>91</v>
      </c>
      <c r="I62" s="1" t="s">
        <v>92</v>
      </c>
      <c r="J62" s="1" t="s">
        <v>28</v>
      </c>
      <c r="K62" s="1" t="s">
        <v>100</v>
      </c>
      <c r="L62" s="1" t="s">
        <v>100</v>
      </c>
      <c r="M62" s="1" t="s">
        <v>82</v>
      </c>
      <c r="N62" s="1" t="s">
        <v>56</v>
      </c>
      <c r="O62" s="1" t="s">
        <v>32</v>
      </c>
      <c r="P62" s="1">
        <v>1</v>
      </c>
      <c r="Q62" s="1">
        <v>531</v>
      </c>
      <c r="R62" s="1">
        <v>1150</v>
      </c>
      <c r="S62" s="1">
        <v>10</v>
      </c>
      <c r="T62" s="1">
        <f t="shared" si="1"/>
        <v>1035</v>
      </c>
      <c r="U62" s="1">
        <f t="shared" si="2"/>
        <v>531</v>
      </c>
      <c r="V62" s="1">
        <f t="shared" si="3"/>
        <v>504</v>
      </c>
      <c r="W62" s="1" t="s">
        <v>33</v>
      </c>
      <c r="X62" s="1" t="s">
        <v>34</v>
      </c>
      <c r="Y62" s="1" t="s">
        <v>46</v>
      </c>
    </row>
    <row r="63" spans="1:25" x14ac:dyDescent="0.3">
      <c r="A63" s="1" t="s">
        <v>240</v>
      </c>
      <c r="B63" s="1" t="s">
        <v>37</v>
      </c>
      <c r="C63" s="1" t="str">
        <f t="shared" si="0"/>
        <v>August</v>
      </c>
      <c r="D63" s="1" t="s">
        <v>74</v>
      </c>
      <c r="E63" s="1" t="s">
        <v>241</v>
      </c>
      <c r="F63" s="1" t="s">
        <v>25</v>
      </c>
      <c r="G63" s="1">
        <v>29</v>
      </c>
      <c r="H63" s="1" t="s">
        <v>62</v>
      </c>
      <c r="I63" s="1" t="s">
        <v>63</v>
      </c>
      <c r="J63" s="1" t="s">
        <v>80</v>
      </c>
      <c r="K63" s="1" t="s">
        <v>117</v>
      </c>
      <c r="L63" s="1" t="s">
        <v>117</v>
      </c>
      <c r="M63" s="1" t="s">
        <v>82</v>
      </c>
      <c r="N63" s="1" t="s">
        <v>70</v>
      </c>
      <c r="O63" s="1" t="s">
        <v>32</v>
      </c>
      <c r="P63" s="1">
        <v>4</v>
      </c>
      <c r="Q63" s="1">
        <v>473</v>
      </c>
      <c r="R63" s="1">
        <v>1238</v>
      </c>
      <c r="S63" s="1">
        <v>20</v>
      </c>
      <c r="T63" s="1">
        <f t="shared" si="1"/>
        <v>3961.6000000000004</v>
      </c>
      <c r="U63" s="1">
        <f t="shared" si="2"/>
        <v>1892</v>
      </c>
      <c r="V63" s="1">
        <f t="shared" si="3"/>
        <v>2069.6000000000004</v>
      </c>
      <c r="W63" s="1" t="s">
        <v>66</v>
      </c>
      <c r="X63" s="1" t="s">
        <v>45</v>
      </c>
      <c r="Y63" s="1" t="s">
        <v>46</v>
      </c>
    </row>
    <row r="64" spans="1:25" x14ac:dyDescent="0.3">
      <c r="A64" s="1" t="s">
        <v>242</v>
      </c>
      <c r="B64" s="1" t="s">
        <v>243</v>
      </c>
      <c r="C64" s="1" t="str">
        <f t="shared" si="0"/>
        <v>July</v>
      </c>
      <c r="D64" s="1" t="s">
        <v>98</v>
      </c>
      <c r="E64" s="1" t="s">
        <v>244</v>
      </c>
      <c r="F64" s="1" t="s">
        <v>51</v>
      </c>
      <c r="G64" s="1">
        <v>31</v>
      </c>
      <c r="H64" s="1" t="s">
        <v>62</v>
      </c>
      <c r="I64" s="1" t="s">
        <v>63</v>
      </c>
      <c r="J64" s="1" t="s">
        <v>80</v>
      </c>
      <c r="K64" s="1" t="s">
        <v>81</v>
      </c>
      <c r="L64" s="1" t="s">
        <v>81</v>
      </c>
      <c r="M64" s="1" t="s">
        <v>30</v>
      </c>
      <c r="N64" s="1" t="s">
        <v>31</v>
      </c>
      <c r="O64" s="1" t="s">
        <v>32</v>
      </c>
      <c r="P64" s="1">
        <v>3</v>
      </c>
      <c r="Q64" s="1">
        <v>1138</v>
      </c>
      <c r="R64" s="1">
        <v>1389</v>
      </c>
      <c r="S64" s="1">
        <v>20</v>
      </c>
      <c r="T64" s="1">
        <f t="shared" si="1"/>
        <v>3333.6000000000004</v>
      </c>
      <c r="U64" s="1">
        <f t="shared" si="2"/>
        <v>3414</v>
      </c>
      <c r="V64" s="1">
        <f t="shared" si="3"/>
        <v>-80.399999999999636</v>
      </c>
      <c r="W64" s="1" t="s">
        <v>66</v>
      </c>
      <c r="X64" s="1" t="s">
        <v>34</v>
      </c>
      <c r="Y64" s="1" t="s">
        <v>46</v>
      </c>
    </row>
    <row r="65" spans="1:25" x14ac:dyDescent="0.3">
      <c r="A65" s="1" t="s">
        <v>245</v>
      </c>
      <c r="B65" s="1" t="s">
        <v>246</v>
      </c>
      <c r="C65" s="1" t="str">
        <f t="shared" si="0"/>
        <v>September</v>
      </c>
      <c r="D65" s="1" t="s">
        <v>38</v>
      </c>
      <c r="E65" s="1" t="s">
        <v>247</v>
      </c>
      <c r="F65" s="1" t="s">
        <v>25</v>
      </c>
      <c r="G65" s="1">
        <v>20</v>
      </c>
      <c r="H65" s="1" t="s">
        <v>52</v>
      </c>
      <c r="I65" s="1" t="s">
        <v>52</v>
      </c>
      <c r="J65" s="1" t="s">
        <v>80</v>
      </c>
      <c r="K65" s="1" t="s">
        <v>117</v>
      </c>
      <c r="L65" s="1" t="s">
        <v>117</v>
      </c>
      <c r="M65" s="1" t="s">
        <v>30</v>
      </c>
      <c r="N65" s="1" t="s">
        <v>31</v>
      </c>
      <c r="O65" s="1" t="s">
        <v>57</v>
      </c>
      <c r="P65" s="1">
        <v>4</v>
      </c>
      <c r="Q65" s="1">
        <v>428</v>
      </c>
      <c r="R65" s="1">
        <v>1193</v>
      </c>
      <c r="S65" s="1">
        <v>20</v>
      </c>
      <c r="T65" s="1">
        <f t="shared" si="1"/>
        <v>3817.6000000000004</v>
      </c>
      <c r="U65" s="1">
        <f t="shared" si="2"/>
        <v>1712</v>
      </c>
      <c r="V65" s="1">
        <f t="shared" si="3"/>
        <v>2105.6000000000004</v>
      </c>
      <c r="W65" s="1" t="s">
        <v>33</v>
      </c>
      <c r="X65" s="1" t="s">
        <v>34</v>
      </c>
      <c r="Y65" s="1" t="s">
        <v>46</v>
      </c>
    </row>
    <row r="66" spans="1:25" x14ac:dyDescent="0.3">
      <c r="A66" s="1" t="s">
        <v>248</v>
      </c>
      <c r="B66" s="1" t="s">
        <v>249</v>
      </c>
      <c r="C66" s="1" t="str">
        <f t="shared" si="0"/>
        <v>October</v>
      </c>
      <c r="D66" s="1" t="s">
        <v>98</v>
      </c>
      <c r="E66" s="1" t="s">
        <v>250</v>
      </c>
      <c r="F66" s="1" t="s">
        <v>25</v>
      </c>
      <c r="G66" s="1">
        <v>41</v>
      </c>
      <c r="H66" s="1" t="s">
        <v>40</v>
      </c>
      <c r="I66" s="1" t="s">
        <v>41</v>
      </c>
      <c r="J66" s="1" t="s">
        <v>28</v>
      </c>
      <c r="K66" s="1" t="s">
        <v>29</v>
      </c>
      <c r="L66" s="1" t="s">
        <v>29</v>
      </c>
      <c r="M66" s="1" t="s">
        <v>65</v>
      </c>
      <c r="N66" s="1" t="s">
        <v>70</v>
      </c>
      <c r="O66" s="1" t="s">
        <v>43</v>
      </c>
      <c r="P66" s="1">
        <v>2</v>
      </c>
      <c r="Q66" s="1">
        <v>944</v>
      </c>
      <c r="R66" s="1">
        <v>1257</v>
      </c>
      <c r="S66" s="1">
        <v>5</v>
      </c>
      <c r="T66" s="1">
        <f t="shared" si="1"/>
        <v>2388.2999999999997</v>
      </c>
      <c r="U66" s="1">
        <f t="shared" si="2"/>
        <v>1888</v>
      </c>
      <c r="V66" s="1">
        <f t="shared" si="3"/>
        <v>500.29999999999973</v>
      </c>
      <c r="W66" s="1" t="s">
        <v>33</v>
      </c>
      <c r="X66" s="1" t="s">
        <v>45</v>
      </c>
      <c r="Y66" s="1" t="s">
        <v>124</v>
      </c>
    </row>
    <row r="67" spans="1:25" x14ac:dyDescent="0.3">
      <c r="A67" s="1" t="s">
        <v>251</v>
      </c>
      <c r="B67" s="1" t="s">
        <v>252</v>
      </c>
      <c r="C67" s="1" t="str">
        <f t="shared" ref="C67:C130" si="4">TEXT(B67, "MMMM")</f>
        <v>January</v>
      </c>
      <c r="D67" s="1" t="s">
        <v>60</v>
      </c>
      <c r="E67" s="1" t="s">
        <v>195</v>
      </c>
      <c r="F67" s="1" t="s">
        <v>51</v>
      </c>
      <c r="G67" s="1">
        <v>47</v>
      </c>
      <c r="H67" s="1" t="s">
        <v>91</v>
      </c>
      <c r="I67" s="1" t="s">
        <v>92</v>
      </c>
      <c r="J67" s="1" t="s">
        <v>80</v>
      </c>
      <c r="K67" s="1" t="s">
        <v>81</v>
      </c>
      <c r="L67" s="1" t="s">
        <v>81</v>
      </c>
      <c r="M67" s="1" t="s">
        <v>55</v>
      </c>
      <c r="N67" s="1" t="s">
        <v>31</v>
      </c>
      <c r="O67" s="1" t="s">
        <v>43</v>
      </c>
      <c r="P67" s="1">
        <v>3</v>
      </c>
      <c r="Q67" s="1">
        <v>1361</v>
      </c>
      <c r="R67" s="1">
        <v>1960</v>
      </c>
      <c r="S67" s="1">
        <v>10</v>
      </c>
      <c r="T67" s="1">
        <f t="shared" ref="T67:T130" si="5">P67*R67*(1-S67/100)</f>
        <v>5292</v>
      </c>
      <c r="U67" s="1">
        <f t="shared" ref="U67:U130" si="6">P67*Q67</f>
        <v>4083</v>
      </c>
      <c r="V67" s="1">
        <f t="shared" ref="V67:V130" si="7">T67-U67</f>
        <v>1209</v>
      </c>
      <c r="W67" s="1" t="s">
        <v>33</v>
      </c>
      <c r="X67" s="1" t="s">
        <v>45</v>
      </c>
      <c r="Y67" s="1" t="s">
        <v>124</v>
      </c>
    </row>
    <row r="68" spans="1:25" x14ac:dyDescent="0.3">
      <c r="A68" s="1" t="s">
        <v>253</v>
      </c>
      <c r="B68" s="1" t="s">
        <v>254</v>
      </c>
      <c r="C68" s="1" t="str">
        <f t="shared" si="4"/>
        <v>October</v>
      </c>
      <c r="D68" s="1" t="s">
        <v>68</v>
      </c>
      <c r="E68" s="1" t="s">
        <v>50</v>
      </c>
      <c r="F68" s="1" t="s">
        <v>25</v>
      </c>
      <c r="G68" s="1">
        <v>41</v>
      </c>
      <c r="H68" s="1" t="s">
        <v>62</v>
      </c>
      <c r="I68" s="1" t="s">
        <v>63</v>
      </c>
      <c r="J68" s="1" t="s">
        <v>28</v>
      </c>
      <c r="K68" s="1" t="s">
        <v>100</v>
      </c>
      <c r="L68" s="1" t="s">
        <v>100</v>
      </c>
      <c r="M68" s="1" t="s">
        <v>82</v>
      </c>
      <c r="N68" s="1" t="s">
        <v>42</v>
      </c>
      <c r="O68" s="1" t="s">
        <v>57</v>
      </c>
      <c r="P68" s="1">
        <v>3</v>
      </c>
      <c r="Q68" s="1">
        <v>654</v>
      </c>
      <c r="R68" s="1">
        <v>800</v>
      </c>
      <c r="S68" s="1">
        <v>15</v>
      </c>
      <c r="T68" s="1">
        <f t="shared" si="5"/>
        <v>2040</v>
      </c>
      <c r="U68" s="1">
        <f t="shared" si="6"/>
        <v>1962</v>
      </c>
      <c r="V68" s="1">
        <f t="shared" si="7"/>
        <v>78</v>
      </c>
      <c r="W68" s="1" t="s">
        <v>66</v>
      </c>
      <c r="X68" s="1" t="s">
        <v>34</v>
      </c>
      <c r="Y68" s="1" t="s">
        <v>46</v>
      </c>
    </row>
    <row r="69" spans="1:25" x14ac:dyDescent="0.3">
      <c r="A69" s="1" t="s">
        <v>255</v>
      </c>
      <c r="B69" s="1" t="s">
        <v>256</v>
      </c>
      <c r="C69" s="1" t="str">
        <f t="shared" si="4"/>
        <v>July</v>
      </c>
      <c r="D69" s="1" t="s">
        <v>98</v>
      </c>
      <c r="E69" s="1" t="s">
        <v>69</v>
      </c>
      <c r="F69" s="1" t="s">
        <v>51</v>
      </c>
      <c r="G69" s="1">
        <v>32</v>
      </c>
      <c r="H69" s="1" t="s">
        <v>91</v>
      </c>
      <c r="I69" s="1" t="s">
        <v>92</v>
      </c>
      <c r="J69" s="1" t="s">
        <v>28</v>
      </c>
      <c r="K69" s="1" t="s">
        <v>100</v>
      </c>
      <c r="L69" s="1" t="s">
        <v>100</v>
      </c>
      <c r="M69" s="1" t="s">
        <v>65</v>
      </c>
      <c r="N69" s="1" t="s">
        <v>56</v>
      </c>
      <c r="O69" s="1" t="s">
        <v>43</v>
      </c>
      <c r="P69" s="1">
        <v>4</v>
      </c>
      <c r="Q69" s="1">
        <v>303</v>
      </c>
      <c r="R69" s="1">
        <v>1058</v>
      </c>
      <c r="S69" s="1">
        <v>5</v>
      </c>
      <c r="T69" s="1">
        <f t="shared" si="5"/>
        <v>4020.3999999999996</v>
      </c>
      <c r="U69" s="1">
        <f t="shared" si="6"/>
        <v>1212</v>
      </c>
      <c r="V69" s="1">
        <f t="shared" si="7"/>
        <v>2808.3999999999996</v>
      </c>
      <c r="W69" s="1" t="s">
        <v>33</v>
      </c>
      <c r="X69" s="1" t="s">
        <v>45</v>
      </c>
      <c r="Y69" s="1" t="s">
        <v>46</v>
      </c>
    </row>
    <row r="70" spans="1:25" x14ac:dyDescent="0.3">
      <c r="A70" s="1" t="s">
        <v>257</v>
      </c>
      <c r="B70" s="1" t="s">
        <v>258</v>
      </c>
      <c r="C70" s="1" t="str">
        <f t="shared" si="4"/>
        <v>November</v>
      </c>
      <c r="D70" s="1" t="s">
        <v>127</v>
      </c>
      <c r="E70" s="1" t="s">
        <v>222</v>
      </c>
      <c r="F70" s="1" t="s">
        <v>25</v>
      </c>
      <c r="G70" s="1">
        <v>34</v>
      </c>
      <c r="H70" s="1" t="s">
        <v>52</v>
      </c>
      <c r="I70" s="1" t="s">
        <v>52</v>
      </c>
      <c r="J70" s="1" t="s">
        <v>28</v>
      </c>
      <c r="K70" s="1" t="s">
        <v>100</v>
      </c>
      <c r="L70" s="1" t="s">
        <v>100</v>
      </c>
      <c r="M70" s="1" t="s">
        <v>82</v>
      </c>
      <c r="N70" s="1" t="s">
        <v>56</v>
      </c>
      <c r="O70" s="1" t="s">
        <v>57</v>
      </c>
      <c r="P70" s="1">
        <v>3</v>
      </c>
      <c r="Q70" s="1">
        <v>354</v>
      </c>
      <c r="R70" s="1">
        <v>862</v>
      </c>
      <c r="S70" s="1">
        <v>10</v>
      </c>
      <c r="T70" s="1">
        <f t="shared" si="5"/>
        <v>2327.4</v>
      </c>
      <c r="U70" s="1">
        <f t="shared" si="6"/>
        <v>1062</v>
      </c>
      <c r="V70" s="1">
        <f t="shared" si="7"/>
        <v>1265.4000000000001</v>
      </c>
      <c r="W70" s="1" t="s">
        <v>44</v>
      </c>
      <c r="X70" s="1" t="s">
        <v>34</v>
      </c>
      <c r="Y70" s="1" t="s">
        <v>46</v>
      </c>
    </row>
    <row r="71" spans="1:25" x14ac:dyDescent="0.3">
      <c r="A71" s="1" t="s">
        <v>259</v>
      </c>
      <c r="B71" s="1" t="s">
        <v>260</v>
      </c>
      <c r="C71" s="1" t="str">
        <f t="shared" si="4"/>
        <v>April</v>
      </c>
      <c r="D71" s="1" t="s">
        <v>98</v>
      </c>
      <c r="E71" s="1" t="s">
        <v>154</v>
      </c>
      <c r="F71" s="1" t="s">
        <v>25</v>
      </c>
      <c r="G71" s="1">
        <v>45</v>
      </c>
      <c r="H71" s="1" t="s">
        <v>52</v>
      </c>
      <c r="I71" s="1" t="s">
        <v>52</v>
      </c>
      <c r="J71" s="1" t="s">
        <v>80</v>
      </c>
      <c r="K71" s="1" t="s">
        <v>81</v>
      </c>
      <c r="L71" s="1" t="s">
        <v>81</v>
      </c>
      <c r="M71" s="1" t="s">
        <v>55</v>
      </c>
      <c r="N71" s="1" t="s">
        <v>42</v>
      </c>
      <c r="O71" s="1" t="s">
        <v>113</v>
      </c>
      <c r="P71" s="1">
        <v>4</v>
      </c>
      <c r="Q71" s="1">
        <v>1006</v>
      </c>
      <c r="R71" s="1">
        <v>1598</v>
      </c>
      <c r="S71" s="1">
        <v>15</v>
      </c>
      <c r="T71" s="1">
        <f t="shared" si="5"/>
        <v>5433.2</v>
      </c>
      <c r="U71" s="1">
        <f t="shared" si="6"/>
        <v>4024</v>
      </c>
      <c r="V71" s="1">
        <f t="shared" si="7"/>
        <v>1409.1999999999998</v>
      </c>
      <c r="W71" s="1" t="s">
        <v>66</v>
      </c>
      <c r="X71" s="1" t="s">
        <v>45</v>
      </c>
      <c r="Y71" s="1" t="s">
        <v>35</v>
      </c>
    </row>
    <row r="72" spans="1:25" x14ac:dyDescent="0.3">
      <c r="A72" s="1" t="s">
        <v>261</v>
      </c>
      <c r="B72" s="1" t="s">
        <v>262</v>
      </c>
      <c r="C72" s="1" t="str">
        <f t="shared" si="4"/>
        <v>May</v>
      </c>
      <c r="D72" s="1" t="s">
        <v>74</v>
      </c>
      <c r="E72" s="1" t="s">
        <v>263</v>
      </c>
      <c r="F72" s="1" t="s">
        <v>25</v>
      </c>
      <c r="G72" s="1">
        <v>30</v>
      </c>
      <c r="H72" s="1" t="s">
        <v>26</v>
      </c>
      <c r="I72" s="1" t="s">
        <v>27</v>
      </c>
      <c r="J72" s="1" t="s">
        <v>28</v>
      </c>
      <c r="K72" s="1" t="s">
        <v>100</v>
      </c>
      <c r="L72" s="1" t="s">
        <v>100</v>
      </c>
      <c r="M72" s="1" t="s">
        <v>65</v>
      </c>
      <c r="N72" s="1" t="s">
        <v>70</v>
      </c>
      <c r="O72" s="1" t="s">
        <v>71</v>
      </c>
      <c r="P72" s="1">
        <v>5</v>
      </c>
      <c r="Q72" s="1">
        <v>910</v>
      </c>
      <c r="R72" s="1">
        <v>1255</v>
      </c>
      <c r="S72" s="1">
        <v>20</v>
      </c>
      <c r="T72" s="1">
        <f t="shared" si="5"/>
        <v>5020</v>
      </c>
      <c r="U72" s="1">
        <f t="shared" si="6"/>
        <v>4550</v>
      </c>
      <c r="V72" s="1">
        <f t="shared" si="7"/>
        <v>470</v>
      </c>
      <c r="W72" s="1" t="s">
        <v>33</v>
      </c>
      <c r="X72" s="1" t="s">
        <v>34</v>
      </c>
      <c r="Y72" s="1" t="s">
        <v>124</v>
      </c>
    </row>
    <row r="73" spans="1:25" x14ac:dyDescent="0.3">
      <c r="A73" s="1" t="s">
        <v>264</v>
      </c>
      <c r="B73" s="1" t="s">
        <v>265</v>
      </c>
      <c r="C73" s="1" t="str">
        <f t="shared" si="4"/>
        <v>April</v>
      </c>
      <c r="D73" s="1" t="s">
        <v>68</v>
      </c>
      <c r="E73" s="1" t="s">
        <v>266</v>
      </c>
      <c r="F73" s="1" t="s">
        <v>25</v>
      </c>
      <c r="G73" s="1">
        <v>21</v>
      </c>
      <c r="H73" s="1" t="s">
        <v>26</v>
      </c>
      <c r="I73" s="1" t="s">
        <v>27</v>
      </c>
      <c r="J73" s="1" t="s">
        <v>53</v>
      </c>
      <c r="K73" s="1" t="s">
        <v>54</v>
      </c>
      <c r="L73" s="1" t="s">
        <v>54</v>
      </c>
      <c r="M73" s="1" t="s">
        <v>82</v>
      </c>
      <c r="N73" s="1" t="s">
        <v>70</v>
      </c>
      <c r="O73" s="1" t="s">
        <v>71</v>
      </c>
      <c r="P73" s="1">
        <v>1</v>
      </c>
      <c r="Q73" s="1">
        <v>1076</v>
      </c>
      <c r="R73" s="1">
        <v>1200</v>
      </c>
      <c r="S73" s="1">
        <v>10</v>
      </c>
      <c r="T73" s="1">
        <f t="shared" si="5"/>
        <v>1080</v>
      </c>
      <c r="U73" s="1">
        <f t="shared" si="6"/>
        <v>1076</v>
      </c>
      <c r="V73" s="1">
        <f t="shared" si="7"/>
        <v>4</v>
      </c>
      <c r="W73" s="1" t="s">
        <v>44</v>
      </c>
      <c r="X73" s="1" t="s">
        <v>45</v>
      </c>
      <c r="Y73" s="1" t="s">
        <v>124</v>
      </c>
    </row>
    <row r="74" spans="1:25" x14ac:dyDescent="0.3">
      <c r="A74" s="1" t="s">
        <v>267</v>
      </c>
      <c r="B74" s="1" t="s">
        <v>268</v>
      </c>
      <c r="C74" s="1" t="str">
        <f t="shared" si="4"/>
        <v>August</v>
      </c>
      <c r="D74" s="1" t="s">
        <v>98</v>
      </c>
      <c r="E74" s="1" t="s">
        <v>269</v>
      </c>
      <c r="F74" s="1" t="s">
        <v>51</v>
      </c>
      <c r="G74" s="1">
        <v>33</v>
      </c>
      <c r="H74" s="1" t="s">
        <v>26</v>
      </c>
      <c r="I74" s="1" t="s">
        <v>27</v>
      </c>
      <c r="J74" s="1" t="s">
        <v>53</v>
      </c>
      <c r="K74" s="1" t="s">
        <v>54</v>
      </c>
      <c r="L74" s="1" t="s">
        <v>54</v>
      </c>
      <c r="M74" s="1" t="s">
        <v>30</v>
      </c>
      <c r="N74" s="1" t="s">
        <v>70</v>
      </c>
      <c r="O74" s="1" t="s">
        <v>43</v>
      </c>
      <c r="P74" s="1">
        <v>2</v>
      </c>
      <c r="Q74" s="1">
        <v>1361</v>
      </c>
      <c r="R74" s="1">
        <v>1988</v>
      </c>
      <c r="S74" s="1">
        <v>20</v>
      </c>
      <c r="T74" s="1">
        <f t="shared" si="5"/>
        <v>3180.8</v>
      </c>
      <c r="U74" s="1">
        <f t="shared" si="6"/>
        <v>2722</v>
      </c>
      <c r="V74" s="1">
        <f t="shared" si="7"/>
        <v>458.80000000000018</v>
      </c>
      <c r="W74" s="1" t="s">
        <v>44</v>
      </c>
      <c r="X74" s="1" t="s">
        <v>34</v>
      </c>
      <c r="Y74" s="1" t="s">
        <v>46</v>
      </c>
    </row>
    <row r="75" spans="1:25" x14ac:dyDescent="0.3">
      <c r="A75" s="1" t="s">
        <v>270</v>
      </c>
      <c r="B75" s="1" t="s">
        <v>271</v>
      </c>
      <c r="C75" s="1" t="str">
        <f t="shared" si="4"/>
        <v>October</v>
      </c>
      <c r="D75" s="1" t="s">
        <v>127</v>
      </c>
      <c r="E75" s="1" t="s">
        <v>272</v>
      </c>
      <c r="F75" s="1" t="s">
        <v>51</v>
      </c>
      <c r="G75" s="1">
        <v>30</v>
      </c>
      <c r="H75" s="1" t="s">
        <v>62</v>
      </c>
      <c r="I75" s="1" t="s">
        <v>63</v>
      </c>
      <c r="J75" s="1" t="s">
        <v>28</v>
      </c>
      <c r="K75" s="1" t="s">
        <v>100</v>
      </c>
      <c r="L75" s="1" t="s">
        <v>100</v>
      </c>
      <c r="M75" s="1" t="s">
        <v>82</v>
      </c>
      <c r="N75" s="1" t="s">
        <v>56</v>
      </c>
      <c r="O75" s="1" t="s">
        <v>32</v>
      </c>
      <c r="P75" s="1">
        <v>4</v>
      </c>
      <c r="Q75" s="1">
        <v>1312</v>
      </c>
      <c r="R75" s="1">
        <v>1652</v>
      </c>
      <c r="S75" s="1">
        <v>0</v>
      </c>
      <c r="T75" s="1">
        <f t="shared" si="5"/>
        <v>6608</v>
      </c>
      <c r="U75" s="1">
        <f t="shared" si="6"/>
        <v>5248</v>
      </c>
      <c r="V75" s="1">
        <f t="shared" si="7"/>
        <v>1360</v>
      </c>
      <c r="W75" s="1" t="s">
        <v>66</v>
      </c>
      <c r="X75" s="1" t="s">
        <v>45</v>
      </c>
      <c r="Y75" s="1" t="s">
        <v>35</v>
      </c>
    </row>
    <row r="76" spans="1:25" x14ac:dyDescent="0.3">
      <c r="A76" s="1" t="s">
        <v>273</v>
      </c>
      <c r="B76" s="1" t="s">
        <v>274</v>
      </c>
      <c r="C76" s="1" t="str">
        <f t="shared" si="4"/>
        <v>October</v>
      </c>
      <c r="D76" s="1" t="s">
        <v>275</v>
      </c>
      <c r="E76" s="1" t="s">
        <v>276</v>
      </c>
      <c r="F76" s="1" t="s">
        <v>51</v>
      </c>
      <c r="G76" s="1">
        <v>38</v>
      </c>
      <c r="H76" s="1" t="s">
        <v>62</v>
      </c>
      <c r="I76" s="1" t="s">
        <v>63</v>
      </c>
      <c r="J76" s="1" t="s">
        <v>28</v>
      </c>
      <c r="K76" s="1" t="s">
        <v>29</v>
      </c>
      <c r="L76" s="1" t="s">
        <v>29</v>
      </c>
      <c r="M76" s="1" t="s">
        <v>55</v>
      </c>
      <c r="N76" s="1" t="s">
        <v>31</v>
      </c>
      <c r="O76" s="1" t="s">
        <v>43</v>
      </c>
      <c r="P76" s="1">
        <v>1</v>
      </c>
      <c r="Q76" s="1">
        <v>461</v>
      </c>
      <c r="R76" s="1">
        <v>1066</v>
      </c>
      <c r="S76" s="1">
        <v>5</v>
      </c>
      <c r="T76" s="1">
        <f t="shared" si="5"/>
        <v>1012.6999999999999</v>
      </c>
      <c r="U76" s="1">
        <f t="shared" si="6"/>
        <v>461</v>
      </c>
      <c r="V76" s="1">
        <f t="shared" si="7"/>
        <v>551.69999999999993</v>
      </c>
      <c r="W76" s="1" t="s">
        <v>66</v>
      </c>
      <c r="X76" s="1" t="s">
        <v>45</v>
      </c>
      <c r="Y76" s="1" t="s">
        <v>124</v>
      </c>
    </row>
    <row r="77" spans="1:25" x14ac:dyDescent="0.3">
      <c r="A77" s="1" t="s">
        <v>277</v>
      </c>
      <c r="B77" s="1" t="s">
        <v>278</v>
      </c>
      <c r="C77" s="1" t="str">
        <f t="shared" si="4"/>
        <v>February</v>
      </c>
      <c r="D77" s="1" t="s">
        <v>127</v>
      </c>
      <c r="E77" s="1" t="s">
        <v>279</v>
      </c>
      <c r="F77" s="1" t="s">
        <v>25</v>
      </c>
      <c r="G77" s="1">
        <v>24</v>
      </c>
      <c r="H77" s="1" t="s">
        <v>40</v>
      </c>
      <c r="I77" s="1" t="s">
        <v>41</v>
      </c>
      <c r="J77" s="1" t="s">
        <v>28</v>
      </c>
      <c r="K77" s="1" t="s">
        <v>29</v>
      </c>
      <c r="L77" s="1" t="s">
        <v>29</v>
      </c>
      <c r="M77" s="1" t="s">
        <v>82</v>
      </c>
      <c r="N77" s="1" t="s">
        <v>56</v>
      </c>
      <c r="O77" s="1" t="s">
        <v>32</v>
      </c>
      <c r="P77" s="1">
        <v>1</v>
      </c>
      <c r="Q77" s="1">
        <v>926</v>
      </c>
      <c r="R77" s="1">
        <v>1459</v>
      </c>
      <c r="S77" s="1">
        <v>5</v>
      </c>
      <c r="T77" s="1">
        <f t="shared" si="5"/>
        <v>1386.05</v>
      </c>
      <c r="U77" s="1">
        <f t="shared" si="6"/>
        <v>926</v>
      </c>
      <c r="V77" s="1">
        <f t="shared" si="7"/>
        <v>460.04999999999995</v>
      </c>
      <c r="W77" s="1" t="s">
        <v>33</v>
      </c>
      <c r="X77" s="1" t="s">
        <v>45</v>
      </c>
      <c r="Y77" s="1" t="s">
        <v>124</v>
      </c>
    </row>
    <row r="78" spans="1:25" x14ac:dyDescent="0.3">
      <c r="A78" s="1" t="s">
        <v>280</v>
      </c>
      <c r="B78" s="1" t="s">
        <v>281</v>
      </c>
      <c r="C78" s="1" t="str">
        <f t="shared" si="4"/>
        <v>January</v>
      </c>
      <c r="D78" s="1" t="s">
        <v>127</v>
      </c>
      <c r="E78" s="1" t="s">
        <v>183</v>
      </c>
      <c r="F78" s="1" t="s">
        <v>51</v>
      </c>
      <c r="G78" s="1">
        <v>53</v>
      </c>
      <c r="H78" s="1" t="s">
        <v>40</v>
      </c>
      <c r="I78" s="1" t="s">
        <v>41</v>
      </c>
      <c r="J78" s="1" t="s">
        <v>53</v>
      </c>
      <c r="K78" s="1" t="s">
        <v>64</v>
      </c>
      <c r="L78" s="1" t="s">
        <v>64</v>
      </c>
      <c r="M78" s="1" t="s">
        <v>55</v>
      </c>
      <c r="N78" s="1" t="s">
        <v>31</v>
      </c>
      <c r="O78" s="1" t="s">
        <v>71</v>
      </c>
      <c r="P78" s="1">
        <v>5</v>
      </c>
      <c r="Q78" s="1">
        <v>500</v>
      </c>
      <c r="R78" s="1">
        <v>845</v>
      </c>
      <c r="S78" s="1">
        <v>10</v>
      </c>
      <c r="T78" s="1">
        <f t="shared" si="5"/>
        <v>3802.5</v>
      </c>
      <c r="U78" s="1">
        <f t="shared" si="6"/>
        <v>2500</v>
      </c>
      <c r="V78" s="1">
        <f t="shared" si="7"/>
        <v>1302.5</v>
      </c>
      <c r="W78" s="1" t="s">
        <v>44</v>
      </c>
      <c r="X78" s="1" t="s">
        <v>45</v>
      </c>
      <c r="Y78" s="1" t="s">
        <v>46</v>
      </c>
    </row>
    <row r="79" spans="1:25" x14ac:dyDescent="0.3">
      <c r="A79" s="1" t="s">
        <v>282</v>
      </c>
      <c r="B79" s="1" t="s">
        <v>283</v>
      </c>
      <c r="C79" s="1" t="str">
        <f t="shared" si="4"/>
        <v>August</v>
      </c>
      <c r="D79" s="1" t="s">
        <v>74</v>
      </c>
      <c r="E79" s="1" t="s">
        <v>284</v>
      </c>
      <c r="F79" s="1" t="s">
        <v>25</v>
      </c>
      <c r="G79" s="1">
        <v>47</v>
      </c>
      <c r="H79" s="1" t="s">
        <v>40</v>
      </c>
      <c r="I79" s="1" t="s">
        <v>41</v>
      </c>
      <c r="J79" s="1" t="s">
        <v>53</v>
      </c>
      <c r="K79" s="1" t="s">
        <v>64</v>
      </c>
      <c r="L79" s="1" t="s">
        <v>64</v>
      </c>
      <c r="M79" s="1" t="s">
        <v>55</v>
      </c>
      <c r="N79" s="1" t="s">
        <v>56</v>
      </c>
      <c r="O79" s="1" t="s">
        <v>32</v>
      </c>
      <c r="P79" s="1">
        <v>1</v>
      </c>
      <c r="Q79" s="1">
        <v>755</v>
      </c>
      <c r="R79" s="1">
        <v>869</v>
      </c>
      <c r="S79" s="1">
        <v>20</v>
      </c>
      <c r="T79" s="1">
        <f t="shared" si="5"/>
        <v>695.2</v>
      </c>
      <c r="U79" s="1">
        <f t="shared" si="6"/>
        <v>755</v>
      </c>
      <c r="V79" s="1">
        <f t="shared" si="7"/>
        <v>-59.799999999999955</v>
      </c>
      <c r="W79" s="1" t="s">
        <v>33</v>
      </c>
      <c r="X79" s="1" t="s">
        <v>45</v>
      </c>
      <c r="Y79" s="1" t="s">
        <v>35</v>
      </c>
    </row>
    <row r="80" spans="1:25" x14ac:dyDescent="0.3">
      <c r="A80" s="1" t="s">
        <v>285</v>
      </c>
      <c r="B80" s="1" t="s">
        <v>286</v>
      </c>
      <c r="C80" s="1" t="str">
        <f t="shared" si="4"/>
        <v>October</v>
      </c>
      <c r="D80" s="1" t="s">
        <v>38</v>
      </c>
      <c r="E80" s="1" t="s">
        <v>287</v>
      </c>
      <c r="F80" s="1" t="s">
        <v>51</v>
      </c>
      <c r="G80" s="1">
        <v>40</v>
      </c>
      <c r="H80" s="1" t="s">
        <v>40</v>
      </c>
      <c r="I80" s="1" t="s">
        <v>41</v>
      </c>
      <c r="J80" s="1" t="s">
        <v>80</v>
      </c>
      <c r="K80" s="1" t="s">
        <v>117</v>
      </c>
      <c r="L80" s="1" t="s">
        <v>117</v>
      </c>
      <c r="M80" s="1" t="s">
        <v>55</v>
      </c>
      <c r="N80" s="1" t="s">
        <v>70</v>
      </c>
      <c r="O80" s="1" t="s">
        <v>32</v>
      </c>
      <c r="P80" s="1">
        <v>4</v>
      </c>
      <c r="Q80" s="1">
        <v>978</v>
      </c>
      <c r="R80" s="1">
        <v>1213</v>
      </c>
      <c r="S80" s="1">
        <v>10</v>
      </c>
      <c r="T80" s="1">
        <f t="shared" si="5"/>
        <v>4366.8</v>
      </c>
      <c r="U80" s="1">
        <f t="shared" si="6"/>
        <v>3912</v>
      </c>
      <c r="V80" s="1">
        <f t="shared" si="7"/>
        <v>454.80000000000018</v>
      </c>
      <c r="W80" s="1" t="s">
        <v>33</v>
      </c>
      <c r="X80" s="1" t="s">
        <v>45</v>
      </c>
      <c r="Y80" s="1" t="s">
        <v>124</v>
      </c>
    </row>
    <row r="81" spans="1:25" x14ac:dyDescent="0.3">
      <c r="A81" s="1" t="s">
        <v>288</v>
      </c>
      <c r="B81" s="1" t="s">
        <v>224</v>
      </c>
      <c r="C81" s="1" t="str">
        <f t="shared" si="4"/>
        <v>May</v>
      </c>
      <c r="D81" s="1" t="s">
        <v>60</v>
      </c>
      <c r="E81" s="1" t="s">
        <v>61</v>
      </c>
      <c r="F81" s="1" t="s">
        <v>25</v>
      </c>
      <c r="G81" s="1">
        <v>23</v>
      </c>
      <c r="H81" s="1" t="s">
        <v>40</v>
      </c>
      <c r="I81" s="1" t="s">
        <v>41</v>
      </c>
      <c r="J81" s="1" t="s">
        <v>80</v>
      </c>
      <c r="K81" s="1" t="s">
        <v>81</v>
      </c>
      <c r="L81" s="1" t="s">
        <v>81</v>
      </c>
      <c r="M81" s="1" t="s">
        <v>82</v>
      </c>
      <c r="N81" s="1" t="s">
        <v>56</v>
      </c>
      <c r="O81" s="1" t="s">
        <v>57</v>
      </c>
      <c r="P81" s="1">
        <v>4</v>
      </c>
      <c r="Q81" s="1">
        <v>305</v>
      </c>
      <c r="R81" s="1">
        <v>489</v>
      </c>
      <c r="S81" s="1">
        <v>15</v>
      </c>
      <c r="T81" s="1">
        <f t="shared" si="5"/>
        <v>1662.6</v>
      </c>
      <c r="U81" s="1">
        <f t="shared" si="6"/>
        <v>1220</v>
      </c>
      <c r="V81" s="1">
        <f t="shared" si="7"/>
        <v>442.59999999999991</v>
      </c>
      <c r="W81" s="1" t="s">
        <v>66</v>
      </c>
      <c r="X81" s="1" t="s">
        <v>34</v>
      </c>
      <c r="Y81" s="1" t="s">
        <v>35</v>
      </c>
    </row>
    <row r="82" spans="1:25" x14ac:dyDescent="0.3">
      <c r="A82" s="1" t="s">
        <v>289</v>
      </c>
      <c r="B82" s="1" t="s">
        <v>290</v>
      </c>
      <c r="C82" s="1" t="str">
        <f t="shared" si="4"/>
        <v>June</v>
      </c>
      <c r="D82" s="1" t="s">
        <v>68</v>
      </c>
      <c r="E82" s="1" t="s">
        <v>266</v>
      </c>
      <c r="F82" s="1" t="s">
        <v>25</v>
      </c>
      <c r="G82" s="1">
        <v>53</v>
      </c>
      <c r="H82" s="1" t="s">
        <v>40</v>
      </c>
      <c r="I82" s="1" t="s">
        <v>41</v>
      </c>
      <c r="J82" s="1" t="s">
        <v>53</v>
      </c>
      <c r="K82" s="1" t="s">
        <v>54</v>
      </c>
      <c r="L82" s="1" t="s">
        <v>54</v>
      </c>
      <c r="M82" s="1" t="s">
        <v>30</v>
      </c>
      <c r="N82" s="1" t="s">
        <v>70</v>
      </c>
      <c r="O82" s="1" t="s">
        <v>43</v>
      </c>
      <c r="P82" s="1">
        <v>3</v>
      </c>
      <c r="Q82" s="1">
        <v>585</v>
      </c>
      <c r="R82" s="1">
        <v>779</v>
      </c>
      <c r="S82" s="1">
        <v>15</v>
      </c>
      <c r="T82" s="1">
        <f t="shared" si="5"/>
        <v>1986.45</v>
      </c>
      <c r="U82" s="1">
        <f t="shared" si="6"/>
        <v>1755</v>
      </c>
      <c r="V82" s="1">
        <f t="shared" si="7"/>
        <v>231.45000000000005</v>
      </c>
      <c r="W82" s="1" t="s">
        <v>66</v>
      </c>
      <c r="X82" s="1" t="s">
        <v>45</v>
      </c>
      <c r="Y82" s="1" t="s">
        <v>35</v>
      </c>
    </row>
    <row r="83" spans="1:25" x14ac:dyDescent="0.3">
      <c r="A83" s="1" t="s">
        <v>291</v>
      </c>
      <c r="B83" s="1" t="s">
        <v>292</v>
      </c>
      <c r="C83" s="1" t="str">
        <f t="shared" si="4"/>
        <v>June</v>
      </c>
      <c r="D83" s="1" t="s">
        <v>127</v>
      </c>
      <c r="E83" s="1" t="s">
        <v>219</v>
      </c>
      <c r="F83" s="1" t="s">
        <v>25</v>
      </c>
      <c r="G83" s="1">
        <v>53</v>
      </c>
      <c r="H83" s="1" t="s">
        <v>91</v>
      </c>
      <c r="I83" s="1" t="s">
        <v>92</v>
      </c>
      <c r="J83" s="1" t="s">
        <v>28</v>
      </c>
      <c r="K83" s="1" t="s">
        <v>100</v>
      </c>
      <c r="L83" s="1" t="s">
        <v>100</v>
      </c>
      <c r="M83" s="1" t="s">
        <v>82</v>
      </c>
      <c r="N83" s="1" t="s">
        <v>42</v>
      </c>
      <c r="O83" s="1" t="s">
        <v>43</v>
      </c>
      <c r="P83" s="1">
        <v>5</v>
      </c>
      <c r="Q83" s="1">
        <v>846</v>
      </c>
      <c r="R83" s="1">
        <v>1232</v>
      </c>
      <c r="S83" s="1">
        <v>15</v>
      </c>
      <c r="T83" s="1">
        <f t="shared" si="5"/>
        <v>5236</v>
      </c>
      <c r="U83" s="1">
        <f t="shared" si="6"/>
        <v>4230</v>
      </c>
      <c r="V83" s="1">
        <f t="shared" si="7"/>
        <v>1006</v>
      </c>
      <c r="W83" s="1" t="s">
        <v>44</v>
      </c>
      <c r="X83" s="1" t="s">
        <v>45</v>
      </c>
      <c r="Y83" s="1" t="s">
        <v>35</v>
      </c>
    </row>
    <row r="84" spans="1:25" x14ac:dyDescent="0.3">
      <c r="A84" s="1" t="s">
        <v>293</v>
      </c>
      <c r="B84" s="1" t="s">
        <v>139</v>
      </c>
      <c r="C84" s="1" t="str">
        <f t="shared" si="4"/>
        <v>January</v>
      </c>
      <c r="D84" s="1" t="s">
        <v>89</v>
      </c>
      <c r="E84" s="1" t="s">
        <v>99</v>
      </c>
      <c r="F84" s="1" t="s">
        <v>51</v>
      </c>
      <c r="G84" s="1">
        <v>50</v>
      </c>
      <c r="H84" s="1" t="s">
        <v>40</v>
      </c>
      <c r="I84" s="1" t="s">
        <v>41</v>
      </c>
      <c r="J84" s="1" t="s">
        <v>28</v>
      </c>
      <c r="K84" s="1" t="s">
        <v>29</v>
      </c>
      <c r="L84" s="1" t="s">
        <v>29</v>
      </c>
      <c r="M84" s="1" t="s">
        <v>86</v>
      </c>
      <c r="N84" s="1" t="s">
        <v>70</v>
      </c>
      <c r="O84" s="1" t="s">
        <v>71</v>
      </c>
      <c r="P84" s="1">
        <v>1</v>
      </c>
      <c r="Q84" s="1">
        <v>572</v>
      </c>
      <c r="R84" s="1">
        <v>979</v>
      </c>
      <c r="S84" s="1">
        <v>15</v>
      </c>
      <c r="T84" s="1">
        <f t="shared" si="5"/>
        <v>832.15</v>
      </c>
      <c r="U84" s="1">
        <f t="shared" si="6"/>
        <v>572</v>
      </c>
      <c r="V84" s="1">
        <f t="shared" si="7"/>
        <v>260.14999999999998</v>
      </c>
      <c r="W84" s="1" t="s">
        <v>44</v>
      </c>
      <c r="X84" s="1" t="s">
        <v>45</v>
      </c>
      <c r="Y84" s="1" t="s">
        <v>35</v>
      </c>
    </row>
    <row r="85" spans="1:25" x14ac:dyDescent="0.3">
      <c r="A85" s="1" t="s">
        <v>294</v>
      </c>
      <c r="B85" s="1" t="s">
        <v>249</v>
      </c>
      <c r="C85" s="1" t="str">
        <f t="shared" si="4"/>
        <v>October</v>
      </c>
      <c r="D85" s="1" t="s">
        <v>89</v>
      </c>
      <c r="E85" s="1" t="s">
        <v>295</v>
      </c>
      <c r="F85" s="1" t="s">
        <v>25</v>
      </c>
      <c r="G85" s="1">
        <v>27</v>
      </c>
      <c r="H85" s="1" t="s">
        <v>26</v>
      </c>
      <c r="I85" s="1" t="s">
        <v>27</v>
      </c>
      <c r="J85" s="1" t="s">
        <v>80</v>
      </c>
      <c r="K85" s="1" t="s">
        <v>81</v>
      </c>
      <c r="L85" s="1" t="s">
        <v>81</v>
      </c>
      <c r="M85" s="1" t="s">
        <v>82</v>
      </c>
      <c r="N85" s="1" t="s">
        <v>56</v>
      </c>
      <c r="O85" s="1" t="s">
        <v>71</v>
      </c>
      <c r="P85" s="1">
        <v>3</v>
      </c>
      <c r="Q85" s="1">
        <v>506</v>
      </c>
      <c r="R85" s="1">
        <v>707</v>
      </c>
      <c r="S85" s="1">
        <v>5</v>
      </c>
      <c r="T85" s="1">
        <f t="shared" si="5"/>
        <v>2014.9499999999998</v>
      </c>
      <c r="U85" s="1">
        <f t="shared" si="6"/>
        <v>1518</v>
      </c>
      <c r="V85" s="1">
        <f t="shared" si="7"/>
        <v>496.94999999999982</v>
      </c>
      <c r="W85" s="1" t="s">
        <v>33</v>
      </c>
      <c r="X85" s="1" t="s">
        <v>45</v>
      </c>
      <c r="Y85" s="1" t="s">
        <v>46</v>
      </c>
    </row>
    <row r="86" spans="1:25" x14ac:dyDescent="0.3">
      <c r="A86" s="1" t="s">
        <v>296</v>
      </c>
      <c r="B86" s="1" t="s">
        <v>283</v>
      </c>
      <c r="C86" s="1" t="str">
        <f t="shared" si="4"/>
        <v>August</v>
      </c>
      <c r="D86" s="1" t="s">
        <v>85</v>
      </c>
      <c r="E86" s="1" t="s">
        <v>297</v>
      </c>
      <c r="F86" s="1" t="s">
        <v>51</v>
      </c>
      <c r="G86" s="1">
        <v>35</v>
      </c>
      <c r="H86" s="1" t="s">
        <v>40</v>
      </c>
      <c r="I86" s="1" t="s">
        <v>41</v>
      </c>
      <c r="J86" s="1" t="s">
        <v>53</v>
      </c>
      <c r="K86" s="1" t="s">
        <v>64</v>
      </c>
      <c r="L86" s="1" t="s">
        <v>64</v>
      </c>
      <c r="M86" s="1" t="s">
        <v>86</v>
      </c>
      <c r="N86" s="1" t="s">
        <v>56</v>
      </c>
      <c r="O86" s="1" t="s">
        <v>57</v>
      </c>
      <c r="P86" s="1">
        <v>1</v>
      </c>
      <c r="Q86" s="1">
        <v>1152</v>
      </c>
      <c r="R86" s="1">
        <v>1344</v>
      </c>
      <c r="S86" s="1">
        <v>10</v>
      </c>
      <c r="T86" s="1">
        <f t="shared" si="5"/>
        <v>1209.6000000000001</v>
      </c>
      <c r="U86" s="1">
        <f t="shared" si="6"/>
        <v>1152</v>
      </c>
      <c r="V86" s="1">
        <f t="shared" si="7"/>
        <v>57.600000000000136</v>
      </c>
      <c r="W86" s="1" t="s">
        <v>33</v>
      </c>
      <c r="X86" s="1" t="s">
        <v>34</v>
      </c>
      <c r="Y86" s="1" t="s">
        <v>124</v>
      </c>
    </row>
    <row r="87" spans="1:25" x14ac:dyDescent="0.3">
      <c r="A87" s="1" t="s">
        <v>298</v>
      </c>
      <c r="B87" s="1" t="s">
        <v>299</v>
      </c>
      <c r="C87" s="1" t="str">
        <f t="shared" si="4"/>
        <v>July</v>
      </c>
      <c r="D87" s="1" t="s">
        <v>74</v>
      </c>
      <c r="E87" s="1" t="s">
        <v>300</v>
      </c>
      <c r="F87" s="1" t="s">
        <v>51</v>
      </c>
      <c r="G87" s="1">
        <v>19</v>
      </c>
      <c r="H87" s="1" t="s">
        <v>40</v>
      </c>
      <c r="I87" s="1" t="s">
        <v>41</v>
      </c>
      <c r="J87" s="1" t="s">
        <v>53</v>
      </c>
      <c r="K87" s="1" t="s">
        <v>64</v>
      </c>
      <c r="L87" s="1" t="s">
        <v>64</v>
      </c>
      <c r="M87" s="1" t="s">
        <v>55</v>
      </c>
      <c r="N87" s="1" t="s">
        <v>70</v>
      </c>
      <c r="O87" s="1" t="s">
        <v>57</v>
      </c>
      <c r="P87" s="1">
        <v>5</v>
      </c>
      <c r="Q87" s="1">
        <v>998</v>
      </c>
      <c r="R87" s="1">
        <v>1512</v>
      </c>
      <c r="S87" s="1">
        <v>20</v>
      </c>
      <c r="T87" s="1">
        <f t="shared" si="5"/>
        <v>6048</v>
      </c>
      <c r="U87" s="1">
        <f t="shared" si="6"/>
        <v>4990</v>
      </c>
      <c r="V87" s="1">
        <f t="shared" si="7"/>
        <v>1058</v>
      </c>
      <c r="W87" s="1" t="s">
        <v>66</v>
      </c>
      <c r="X87" s="1" t="s">
        <v>45</v>
      </c>
      <c r="Y87" s="1" t="s">
        <v>46</v>
      </c>
    </row>
    <row r="88" spans="1:25" x14ac:dyDescent="0.3">
      <c r="A88" s="1" t="s">
        <v>301</v>
      </c>
      <c r="B88" s="1" t="s">
        <v>302</v>
      </c>
      <c r="C88" s="1" t="str">
        <f t="shared" si="4"/>
        <v>September</v>
      </c>
      <c r="D88" s="1" t="s">
        <v>49</v>
      </c>
      <c r="E88" s="1" t="s">
        <v>120</v>
      </c>
      <c r="F88" s="1" t="s">
        <v>25</v>
      </c>
      <c r="G88" s="1">
        <v>20</v>
      </c>
      <c r="H88" s="1" t="s">
        <v>62</v>
      </c>
      <c r="I88" s="1" t="s">
        <v>63</v>
      </c>
      <c r="J88" s="1" t="s">
        <v>28</v>
      </c>
      <c r="K88" s="1" t="s">
        <v>100</v>
      </c>
      <c r="L88" s="1" t="s">
        <v>100</v>
      </c>
      <c r="M88" s="1" t="s">
        <v>86</v>
      </c>
      <c r="N88" s="1" t="s">
        <v>42</v>
      </c>
      <c r="O88" s="1" t="s">
        <v>113</v>
      </c>
      <c r="P88" s="1">
        <v>4</v>
      </c>
      <c r="Q88" s="1">
        <v>1099</v>
      </c>
      <c r="R88" s="1">
        <v>1371</v>
      </c>
      <c r="S88" s="1">
        <v>10</v>
      </c>
      <c r="T88" s="1">
        <f t="shared" si="5"/>
        <v>4935.6000000000004</v>
      </c>
      <c r="U88" s="1">
        <f t="shared" si="6"/>
        <v>4396</v>
      </c>
      <c r="V88" s="1">
        <f t="shared" si="7"/>
        <v>539.60000000000036</v>
      </c>
      <c r="W88" s="1" t="s">
        <v>66</v>
      </c>
      <c r="X88" s="1" t="s">
        <v>34</v>
      </c>
      <c r="Y88" s="1" t="s">
        <v>124</v>
      </c>
    </row>
    <row r="89" spans="1:25" x14ac:dyDescent="0.3">
      <c r="A89" s="1" t="s">
        <v>303</v>
      </c>
      <c r="B89" s="1" t="s">
        <v>304</v>
      </c>
      <c r="C89" s="1" t="str">
        <f t="shared" si="4"/>
        <v>March</v>
      </c>
      <c r="D89" s="1" t="s">
        <v>74</v>
      </c>
      <c r="E89" s="1" t="s">
        <v>154</v>
      </c>
      <c r="F89" s="1" t="s">
        <v>51</v>
      </c>
      <c r="G89" s="1">
        <v>40</v>
      </c>
      <c r="H89" s="1" t="s">
        <v>52</v>
      </c>
      <c r="I89" s="1" t="s">
        <v>52</v>
      </c>
      <c r="J89" s="1" t="s">
        <v>53</v>
      </c>
      <c r="K89" s="1" t="s">
        <v>54</v>
      </c>
      <c r="L89" s="1" t="s">
        <v>54</v>
      </c>
      <c r="M89" s="1" t="s">
        <v>65</v>
      </c>
      <c r="N89" s="1" t="s">
        <v>70</v>
      </c>
      <c r="O89" s="1" t="s">
        <v>57</v>
      </c>
      <c r="P89" s="1">
        <v>3</v>
      </c>
      <c r="Q89" s="1">
        <v>1059</v>
      </c>
      <c r="R89" s="1">
        <v>1696</v>
      </c>
      <c r="S89" s="1">
        <v>20</v>
      </c>
      <c r="T89" s="1">
        <f t="shared" si="5"/>
        <v>4070.4</v>
      </c>
      <c r="U89" s="1">
        <f t="shared" si="6"/>
        <v>3177</v>
      </c>
      <c r="V89" s="1">
        <f t="shared" si="7"/>
        <v>893.40000000000009</v>
      </c>
      <c r="W89" s="1" t="s">
        <v>44</v>
      </c>
      <c r="X89" s="1" t="s">
        <v>34</v>
      </c>
      <c r="Y89" s="1" t="s">
        <v>35</v>
      </c>
    </row>
    <row r="90" spans="1:25" x14ac:dyDescent="0.3">
      <c r="A90" s="1" t="s">
        <v>305</v>
      </c>
      <c r="B90" s="1" t="s">
        <v>306</v>
      </c>
      <c r="C90" s="1" t="str">
        <f t="shared" si="4"/>
        <v>November</v>
      </c>
      <c r="D90" s="1" t="s">
        <v>74</v>
      </c>
      <c r="E90" s="1" t="s">
        <v>307</v>
      </c>
      <c r="F90" s="1" t="s">
        <v>51</v>
      </c>
      <c r="G90" s="1">
        <v>49</v>
      </c>
      <c r="H90" s="1" t="s">
        <v>26</v>
      </c>
      <c r="I90" s="1" t="s">
        <v>27</v>
      </c>
      <c r="J90" s="1" t="s">
        <v>80</v>
      </c>
      <c r="K90" s="1" t="s">
        <v>117</v>
      </c>
      <c r="L90" s="1" t="s">
        <v>117</v>
      </c>
      <c r="M90" s="1" t="s">
        <v>30</v>
      </c>
      <c r="N90" s="1" t="s">
        <v>42</v>
      </c>
      <c r="O90" s="1" t="s">
        <v>71</v>
      </c>
      <c r="P90" s="1">
        <v>1</v>
      </c>
      <c r="Q90" s="1">
        <v>484</v>
      </c>
      <c r="R90" s="1">
        <v>1260</v>
      </c>
      <c r="S90" s="1">
        <v>0</v>
      </c>
      <c r="T90" s="1">
        <f t="shared" si="5"/>
        <v>1260</v>
      </c>
      <c r="U90" s="1">
        <f t="shared" si="6"/>
        <v>484</v>
      </c>
      <c r="V90" s="1">
        <f t="shared" si="7"/>
        <v>776</v>
      </c>
      <c r="W90" s="1" t="s">
        <v>33</v>
      </c>
      <c r="X90" s="1" t="s">
        <v>45</v>
      </c>
      <c r="Y90" s="1" t="s">
        <v>124</v>
      </c>
    </row>
    <row r="91" spans="1:25" x14ac:dyDescent="0.3">
      <c r="A91" s="1" t="s">
        <v>308</v>
      </c>
      <c r="B91" s="1" t="s">
        <v>309</v>
      </c>
      <c r="C91" s="1" t="str">
        <f t="shared" si="4"/>
        <v>September</v>
      </c>
      <c r="D91" s="1" t="s">
        <v>89</v>
      </c>
      <c r="E91" s="1" t="s">
        <v>279</v>
      </c>
      <c r="F91" s="1" t="s">
        <v>25</v>
      </c>
      <c r="G91" s="1">
        <v>18</v>
      </c>
      <c r="H91" s="1" t="s">
        <v>62</v>
      </c>
      <c r="I91" s="1" t="s">
        <v>63</v>
      </c>
      <c r="J91" s="1" t="s">
        <v>28</v>
      </c>
      <c r="K91" s="1" t="s">
        <v>29</v>
      </c>
      <c r="L91" s="1" t="s">
        <v>29</v>
      </c>
      <c r="M91" s="1" t="s">
        <v>55</v>
      </c>
      <c r="N91" s="1" t="s">
        <v>70</v>
      </c>
      <c r="O91" s="1" t="s">
        <v>43</v>
      </c>
      <c r="P91" s="1">
        <v>3</v>
      </c>
      <c r="Q91" s="1">
        <v>1294</v>
      </c>
      <c r="R91" s="1">
        <v>1733</v>
      </c>
      <c r="S91" s="1">
        <v>0</v>
      </c>
      <c r="T91" s="1">
        <f t="shared" si="5"/>
        <v>5199</v>
      </c>
      <c r="U91" s="1">
        <f t="shared" si="6"/>
        <v>3882</v>
      </c>
      <c r="V91" s="1">
        <f t="shared" si="7"/>
        <v>1317</v>
      </c>
      <c r="W91" s="1" t="s">
        <v>33</v>
      </c>
      <c r="X91" s="1" t="s">
        <v>45</v>
      </c>
      <c r="Y91" s="1" t="s">
        <v>124</v>
      </c>
    </row>
    <row r="92" spans="1:25" x14ac:dyDescent="0.3">
      <c r="A92" s="1" t="s">
        <v>310</v>
      </c>
      <c r="B92" s="1" t="s">
        <v>311</v>
      </c>
      <c r="C92" s="1" t="str">
        <f t="shared" si="4"/>
        <v>July</v>
      </c>
      <c r="D92" s="1" t="s">
        <v>98</v>
      </c>
      <c r="E92" s="1" t="s">
        <v>250</v>
      </c>
      <c r="F92" s="1" t="s">
        <v>51</v>
      </c>
      <c r="G92" s="1">
        <v>21</v>
      </c>
      <c r="H92" s="1" t="s">
        <v>62</v>
      </c>
      <c r="I92" s="1" t="s">
        <v>63</v>
      </c>
      <c r="J92" s="1" t="s">
        <v>80</v>
      </c>
      <c r="K92" s="1" t="s">
        <v>81</v>
      </c>
      <c r="L92" s="1" t="s">
        <v>81</v>
      </c>
      <c r="M92" s="1" t="s">
        <v>65</v>
      </c>
      <c r="N92" s="1" t="s">
        <v>31</v>
      </c>
      <c r="O92" s="1" t="s">
        <v>57</v>
      </c>
      <c r="P92" s="1">
        <v>5</v>
      </c>
      <c r="Q92" s="1">
        <v>332</v>
      </c>
      <c r="R92" s="1">
        <v>732</v>
      </c>
      <c r="S92" s="1">
        <v>15</v>
      </c>
      <c r="T92" s="1">
        <f t="shared" si="5"/>
        <v>3111</v>
      </c>
      <c r="U92" s="1">
        <f t="shared" si="6"/>
        <v>1660</v>
      </c>
      <c r="V92" s="1">
        <f t="shared" si="7"/>
        <v>1451</v>
      </c>
      <c r="W92" s="1" t="s">
        <v>66</v>
      </c>
      <c r="X92" s="1" t="s">
        <v>45</v>
      </c>
      <c r="Y92" s="1" t="s">
        <v>35</v>
      </c>
    </row>
    <row r="93" spans="1:25" x14ac:dyDescent="0.3">
      <c r="A93" s="1" t="s">
        <v>312</v>
      </c>
      <c r="B93" s="1" t="s">
        <v>156</v>
      </c>
      <c r="C93" s="1" t="str">
        <f t="shared" si="4"/>
        <v>January</v>
      </c>
      <c r="D93" s="1" t="s">
        <v>127</v>
      </c>
      <c r="E93" s="1" t="s">
        <v>195</v>
      </c>
      <c r="F93" s="1" t="s">
        <v>51</v>
      </c>
      <c r="G93" s="1">
        <v>39</v>
      </c>
      <c r="H93" s="1" t="s">
        <v>52</v>
      </c>
      <c r="I93" s="1" t="s">
        <v>52</v>
      </c>
      <c r="J93" s="1" t="s">
        <v>28</v>
      </c>
      <c r="K93" s="1" t="s">
        <v>29</v>
      </c>
      <c r="L93" s="1" t="s">
        <v>29</v>
      </c>
      <c r="M93" s="1" t="s">
        <v>86</v>
      </c>
      <c r="N93" s="1" t="s">
        <v>42</v>
      </c>
      <c r="O93" s="1" t="s">
        <v>57</v>
      </c>
      <c r="P93" s="1">
        <v>5</v>
      </c>
      <c r="Q93" s="1">
        <v>1166</v>
      </c>
      <c r="R93" s="1">
        <v>1452</v>
      </c>
      <c r="S93" s="1">
        <v>0</v>
      </c>
      <c r="T93" s="1">
        <f t="shared" si="5"/>
        <v>7260</v>
      </c>
      <c r="U93" s="1">
        <f t="shared" si="6"/>
        <v>5830</v>
      </c>
      <c r="V93" s="1">
        <f t="shared" si="7"/>
        <v>1430</v>
      </c>
      <c r="W93" s="1" t="s">
        <v>44</v>
      </c>
      <c r="X93" s="1" t="s">
        <v>34</v>
      </c>
      <c r="Y93" s="1" t="s">
        <v>124</v>
      </c>
    </row>
    <row r="94" spans="1:25" x14ac:dyDescent="0.3">
      <c r="A94" s="1" t="s">
        <v>313</v>
      </c>
      <c r="B94" s="1" t="s">
        <v>314</v>
      </c>
      <c r="C94" s="1" t="str">
        <f t="shared" si="4"/>
        <v>December</v>
      </c>
      <c r="D94" s="1" t="s">
        <v>68</v>
      </c>
      <c r="E94" s="1" t="s">
        <v>315</v>
      </c>
      <c r="F94" s="1" t="s">
        <v>51</v>
      </c>
      <c r="G94" s="1">
        <v>50</v>
      </c>
      <c r="H94" s="1" t="s">
        <v>40</v>
      </c>
      <c r="I94" s="1" t="s">
        <v>41</v>
      </c>
      <c r="J94" s="1" t="s">
        <v>53</v>
      </c>
      <c r="K94" s="1" t="s">
        <v>64</v>
      </c>
      <c r="L94" s="1" t="s">
        <v>64</v>
      </c>
      <c r="M94" s="1" t="s">
        <v>65</v>
      </c>
      <c r="N94" s="1" t="s">
        <v>42</v>
      </c>
      <c r="O94" s="1" t="s">
        <v>43</v>
      </c>
      <c r="P94" s="1">
        <v>2</v>
      </c>
      <c r="Q94" s="1">
        <v>306</v>
      </c>
      <c r="R94" s="1">
        <v>1003</v>
      </c>
      <c r="S94" s="1">
        <v>0</v>
      </c>
      <c r="T94" s="1">
        <f t="shared" si="5"/>
        <v>2006</v>
      </c>
      <c r="U94" s="1">
        <f t="shared" si="6"/>
        <v>612</v>
      </c>
      <c r="V94" s="1">
        <f t="shared" si="7"/>
        <v>1394</v>
      </c>
      <c r="W94" s="1" t="s">
        <v>66</v>
      </c>
      <c r="X94" s="1" t="s">
        <v>34</v>
      </c>
      <c r="Y94" s="1" t="s">
        <v>35</v>
      </c>
    </row>
    <row r="95" spans="1:25" x14ac:dyDescent="0.3">
      <c r="A95" s="1" t="s">
        <v>316</v>
      </c>
      <c r="B95" s="1" t="s">
        <v>317</v>
      </c>
      <c r="C95" s="1" t="str">
        <f t="shared" si="4"/>
        <v>December</v>
      </c>
      <c r="D95" s="1" t="s">
        <v>74</v>
      </c>
      <c r="E95" s="1" t="s">
        <v>39</v>
      </c>
      <c r="F95" s="1" t="s">
        <v>25</v>
      </c>
      <c r="G95" s="1">
        <v>48</v>
      </c>
      <c r="H95" s="1" t="s">
        <v>91</v>
      </c>
      <c r="I95" s="1" t="s">
        <v>92</v>
      </c>
      <c r="J95" s="1" t="s">
        <v>28</v>
      </c>
      <c r="K95" s="1" t="s">
        <v>100</v>
      </c>
      <c r="L95" s="1" t="s">
        <v>100</v>
      </c>
      <c r="M95" s="1" t="s">
        <v>86</v>
      </c>
      <c r="N95" s="1" t="s">
        <v>70</v>
      </c>
      <c r="O95" s="1" t="s">
        <v>32</v>
      </c>
      <c r="P95" s="1">
        <v>1</v>
      </c>
      <c r="Q95" s="1">
        <v>1271</v>
      </c>
      <c r="R95" s="1">
        <v>2021</v>
      </c>
      <c r="S95" s="1">
        <v>20</v>
      </c>
      <c r="T95" s="1">
        <f t="shared" si="5"/>
        <v>1616.8000000000002</v>
      </c>
      <c r="U95" s="1">
        <f t="shared" si="6"/>
        <v>1271</v>
      </c>
      <c r="V95" s="1">
        <f t="shared" si="7"/>
        <v>345.80000000000018</v>
      </c>
      <c r="W95" s="1" t="s">
        <v>66</v>
      </c>
      <c r="X95" s="1" t="s">
        <v>34</v>
      </c>
      <c r="Y95" s="1" t="s">
        <v>124</v>
      </c>
    </row>
    <row r="96" spans="1:25" x14ac:dyDescent="0.3">
      <c r="A96" s="1" t="s">
        <v>318</v>
      </c>
      <c r="B96" s="1" t="s">
        <v>211</v>
      </c>
      <c r="C96" s="1" t="str">
        <f t="shared" si="4"/>
        <v>March</v>
      </c>
      <c r="D96" s="1" t="s">
        <v>60</v>
      </c>
      <c r="E96" s="1" t="s">
        <v>300</v>
      </c>
      <c r="F96" s="1" t="s">
        <v>25</v>
      </c>
      <c r="G96" s="1">
        <v>32</v>
      </c>
      <c r="H96" s="1" t="s">
        <v>62</v>
      </c>
      <c r="I96" s="1" t="s">
        <v>63</v>
      </c>
      <c r="J96" s="1" t="s">
        <v>80</v>
      </c>
      <c r="K96" s="1" t="s">
        <v>81</v>
      </c>
      <c r="L96" s="1" t="s">
        <v>81</v>
      </c>
      <c r="M96" s="1" t="s">
        <v>86</v>
      </c>
      <c r="N96" s="1" t="s">
        <v>70</v>
      </c>
      <c r="O96" s="1" t="s">
        <v>71</v>
      </c>
      <c r="P96" s="1">
        <v>3</v>
      </c>
      <c r="Q96" s="1">
        <v>463</v>
      </c>
      <c r="R96" s="1">
        <v>1219</v>
      </c>
      <c r="S96" s="1">
        <v>15</v>
      </c>
      <c r="T96" s="1">
        <f t="shared" si="5"/>
        <v>3108.45</v>
      </c>
      <c r="U96" s="1">
        <f t="shared" si="6"/>
        <v>1389</v>
      </c>
      <c r="V96" s="1">
        <f t="shared" si="7"/>
        <v>1719.4499999999998</v>
      </c>
      <c r="W96" s="1" t="s">
        <v>44</v>
      </c>
      <c r="X96" s="1" t="s">
        <v>34</v>
      </c>
      <c r="Y96" s="1" t="s">
        <v>46</v>
      </c>
    </row>
    <row r="97" spans="1:25" x14ac:dyDescent="0.3">
      <c r="A97" s="1" t="s">
        <v>319</v>
      </c>
      <c r="B97" s="1" t="s">
        <v>320</v>
      </c>
      <c r="C97" s="1" t="str">
        <f t="shared" si="4"/>
        <v>December</v>
      </c>
      <c r="D97" s="1" t="s">
        <v>85</v>
      </c>
      <c r="E97" s="1" t="s">
        <v>244</v>
      </c>
      <c r="F97" s="1" t="s">
        <v>51</v>
      </c>
      <c r="G97" s="1">
        <v>26</v>
      </c>
      <c r="H97" s="1" t="s">
        <v>26</v>
      </c>
      <c r="I97" s="1" t="s">
        <v>27</v>
      </c>
      <c r="J97" s="1" t="s">
        <v>28</v>
      </c>
      <c r="K97" s="1" t="s">
        <v>29</v>
      </c>
      <c r="L97" s="1" t="s">
        <v>29</v>
      </c>
      <c r="M97" s="1" t="s">
        <v>55</v>
      </c>
      <c r="N97" s="1" t="s">
        <v>56</v>
      </c>
      <c r="O97" s="1" t="s">
        <v>32</v>
      </c>
      <c r="P97" s="1">
        <v>5</v>
      </c>
      <c r="Q97" s="1">
        <v>1468</v>
      </c>
      <c r="R97" s="1">
        <v>2141</v>
      </c>
      <c r="S97" s="1">
        <v>10</v>
      </c>
      <c r="T97" s="1">
        <f t="shared" si="5"/>
        <v>9634.5</v>
      </c>
      <c r="U97" s="1">
        <f t="shared" si="6"/>
        <v>7340</v>
      </c>
      <c r="V97" s="1">
        <f t="shared" si="7"/>
        <v>2294.5</v>
      </c>
      <c r="W97" s="1" t="s">
        <v>66</v>
      </c>
      <c r="X97" s="1" t="s">
        <v>45</v>
      </c>
      <c r="Y97" s="1" t="s">
        <v>35</v>
      </c>
    </row>
    <row r="98" spans="1:25" x14ac:dyDescent="0.3">
      <c r="A98" s="1" t="s">
        <v>321</v>
      </c>
      <c r="B98" s="1" t="s">
        <v>139</v>
      </c>
      <c r="C98" s="1" t="str">
        <f t="shared" si="4"/>
        <v>January</v>
      </c>
      <c r="D98" s="1" t="s">
        <v>60</v>
      </c>
      <c r="E98" s="1" t="s">
        <v>165</v>
      </c>
      <c r="F98" s="1" t="s">
        <v>51</v>
      </c>
      <c r="G98" s="1">
        <v>55</v>
      </c>
      <c r="H98" s="1" t="s">
        <v>91</v>
      </c>
      <c r="I98" s="1" t="s">
        <v>92</v>
      </c>
      <c r="J98" s="1" t="s">
        <v>53</v>
      </c>
      <c r="K98" s="1" t="s">
        <v>54</v>
      </c>
      <c r="L98" s="1" t="s">
        <v>54</v>
      </c>
      <c r="M98" s="1" t="s">
        <v>65</v>
      </c>
      <c r="N98" s="1" t="s">
        <v>42</v>
      </c>
      <c r="O98" s="1" t="s">
        <v>71</v>
      </c>
      <c r="P98" s="1">
        <v>5</v>
      </c>
      <c r="Q98" s="1">
        <v>1391</v>
      </c>
      <c r="R98" s="1">
        <v>1912</v>
      </c>
      <c r="S98" s="1">
        <v>0</v>
      </c>
      <c r="T98" s="1">
        <f t="shared" si="5"/>
        <v>9560</v>
      </c>
      <c r="U98" s="1">
        <f t="shared" si="6"/>
        <v>6955</v>
      </c>
      <c r="V98" s="1">
        <f t="shared" si="7"/>
        <v>2605</v>
      </c>
      <c r="W98" s="1" t="s">
        <v>33</v>
      </c>
      <c r="X98" s="1" t="s">
        <v>45</v>
      </c>
      <c r="Y98" s="1" t="s">
        <v>46</v>
      </c>
    </row>
    <row r="99" spans="1:25" x14ac:dyDescent="0.3">
      <c r="A99" s="1" t="s">
        <v>322</v>
      </c>
      <c r="B99" s="1" t="s">
        <v>323</v>
      </c>
      <c r="C99" s="1" t="str">
        <f t="shared" si="4"/>
        <v>April</v>
      </c>
      <c r="D99" s="1" t="s">
        <v>60</v>
      </c>
      <c r="E99" s="1" t="s">
        <v>200</v>
      </c>
      <c r="F99" s="1" t="s">
        <v>25</v>
      </c>
      <c r="G99" s="1">
        <v>38</v>
      </c>
      <c r="H99" s="1" t="s">
        <v>40</v>
      </c>
      <c r="I99" s="1" t="s">
        <v>41</v>
      </c>
      <c r="J99" s="1" t="s">
        <v>53</v>
      </c>
      <c r="K99" s="1" t="s">
        <v>64</v>
      </c>
      <c r="L99" s="1" t="s">
        <v>64</v>
      </c>
      <c r="M99" s="1" t="s">
        <v>86</v>
      </c>
      <c r="N99" s="1" t="s">
        <v>31</v>
      </c>
      <c r="O99" s="1" t="s">
        <v>57</v>
      </c>
      <c r="P99" s="1">
        <v>1</v>
      </c>
      <c r="Q99" s="1">
        <v>505</v>
      </c>
      <c r="R99" s="1">
        <v>912</v>
      </c>
      <c r="S99" s="1">
        <v>5</v>
      </c>
      <c r="T99" s="1">
        <f t="shared" si="5"/>
        <v>866.4</v>
      </c>
      <c r="U99" s="1">
        <f t="shared" si="6"/>
        <v>505</v>
      </c>
      <c r="V99" s="1">
        <f t="shared" si="7"/>
        <v>361.4</v>
      </c>
      <c r="W99" s="1" t="s">
        <v>33</v>
      </c>
      <c r="X99" s="1" t="s">
        <v>45</v>
      </c>
      <c r="Y99" s="1" t="s">
        <v>46</v>
      </c>
    </row>
    <row r="100" spans="1:25" x14ac:dyDescent="0.3">
      <c r="A100" s="1" t="s">
        <v>324</v>
      </c>
      <c r="B100" s="1" t="s">
        <v>126</v>
      </c>
      <c r="C100" s="1" t="str">
        <f t="shared" si="4"/>
        <v>March</v>
      </c>
      <c r="D100" s="1" t="s">
        <v>98</v>
      </c>
      <c r="E100" s="1" t="s">
        <v>297</v>
      </c>
      <c r="F100" s="1" t="s">
        <v>25</v>
      </c>
      <c r="G100" s="1">
        <v>43</v>
      </c>
      <c r="H100" s="1" t="s">
        <v>26</v>
      </c>
      <c r="I100" s="1" t="s">
        <v>27</v>
      </c>
      <c r="J100" s="1" t="s">
        <v>80</v>
      </c>
      <c r="K100" s="1" t="s">
        <v>81</v>
      </c>
      <c r="L100" s="1" t="s">
        <v>81</v>
      </c>
      <c r="M100" s="1" t="s">
        <v>65</v>
      </c>
      <c r="N100" s="1" t="s">
        <v>70</v>
      </c>
      <c r="O100" s="1" t="s">
        <v>43</v>
      </c>
      <c r="P100" s="1">
        <v>5</v>
      </c>
      <c r="Q100" s="1">
        <v>543</v>
      </c>
      <c r="R100" s="1">
        <v>826</v>
      </c>
      <c r="S100" s="1">
        <v>0</v>
      </c>
      <c r="T100" s="1">
        <f t="shared" si="5"/>
        <v>4130</v>
      </c>
      <c r="U100" s="1">
        <f t="shared" si="6"/>
        <v>2715</v>
      </c>
      <c r="V100" s="1">
        <f t="shared" si="7"/>
        <v>1415</v>
      </c>
      <c r="W100" s="1" t="s">
        <v>44</v>
      </c>
      <c r="X100" s="1" t="s">
        <v>45</v>
      </c>
      <c r="Y100" s="1" t="s">
        <v>46</v>
      </c>
    </row>
    <row r="101" spans="1:25" x14ac:dyDescent="0.3">
      <c r="A101" s="1" t="s">
        <v>325</v>
      </c>
      <c r="B101" s="1" t="s">
        <v>326</v>
      </c>
      <c r="C101" s="1" t="str">
        <f t="shared" si="4"/>
        <v>August</v>
      </c>
      <c r="D101" s="1" t="s">
        <v>89</v>
      </c>
      <c r="E101" s="1" t="s">
        <v>244</v>
      </c>
      <c r="F101" s="1" t="s">
        <v>25</v>
      </c>
      <c r="G101" s="1">
        <v>34</v>
      </c>
      <c r="H101" s="1" t="s">
        <v>91</v>
      </c>
      <c r="I101" s="1" t="s">
        <v>92</v>
      </c>
      <c r="J101" s="1" t="s">
        <v>53</v>
      </c>
      <c r="K101" s="1" t="s">
        <v>64</v>
      </c>
      <c r="L101" s="1" t="s">
        <v>64</v>
      </c>
      <c r="M101" s="1" t="s">
        <v>55</v>
      </c>
      <c r="N101" s="1" t="s">
        <v>31</v>
      </c>
      <c r="O101" s="1" t="s">
        <v>32</v>
      </c>
      <c r="P101" s="1">
        <v>4</v>
      </c>
      <c r="Q101" s="1">
        <v>1399</v>
      </c>
      <c r="R101" s="1">
        <v>2016</v>
      </c>
      <c r="S101" s="1">
        <v>10</v>
      </c>
      <c r="T101" s="1">
        <f t="shared" si="5"/>
        <v>7257.6</v>
      </c>
      <c r="U101" s="1">
        <f t="shared" si="6"/>
        <v>5596</v>
      </c>
      <c r="V101" s="1">
        <f t="shared" si="7"/>
        <v>1661.6000000000004</v>
      </c>
      <c r="W101" s="1" t="s">
        <v>44</v>
      </c>
      <c r="X101" s="1" t="s">
        <v>34</v>
      </c>
      <c r="Y101" s="1" t="s">
        <v>46</v>
      </c>
    </row>
    <row r="102" spans="1:25" x14ac:dyDescent="0.3">
      <c r="A102" s="1" t="s">
        <v>327</v>
      </c>
      <c r="B102" s="1" t="s">
        <v>328</v>
      </c>
      <c r="C102" s="1" t="str">
        <f t="shared" si="4"/>
        <v>April</v>
      </c>
      <c r="D102" s="1" t="s">
        <v>74</v>
      </c>
      <c r="E102" s="1" t="s">
        <v>123</v>
      </c>
      <c r="F102" s="1" t="s">
        <v>25</v>
      </c>
      <c r="G102" s="1">
        <v>33</v>
      </c>
      <c r="H102" s="1" t="s">
        <v>40</v>
      </c>
      <c r="I102" s="1" t="s">
        <v>41</v>
      </c>
      <c r="J102" s="1" t="s">
        <v>80</v>
      </c>
      <c r="K102" s="1" t="s">
        <v>117</v>
      </c>
      <c r="L102" s="1" t="s">
        <v>117</v>
      </c>
      <c r="M102" s="1" t="s">
        <v>82</v>
      </c>
      <c r="N102" s="1" t="s">
        <v>42</v>
      </c>
      <c r="O102" s="1" t="s">
        <v>57</v>
      </c>
      <c r="P102" s="1">
        <v>5</v>
      </c>
      <c r="Q102" s="1">
        <v>1178</v>
      </c>
      <c r="R102" s="1">
        <v>1537</v>
      </c>
      <c r="S102" s="1">
        <v>20</v>
      </c>
      <c r="T102" s="1">
        <f t="shared" si="5"/>
        <v>6148</v>
      </c>
      <c r="U102" s="1">
        <f t="shared" si="6"/>
        <v>5890</v>
      </c>
      <c r="V102" s="1">
        <f t="shared" si="7"/>
        <v>258</v>
      </c>
      <c r="W102" s="1" t="s">
        <v>44</v>
      </c>
      <c r="X102" s="1" t="s">
        <v>45</v>
      </c>
      <c r="Y102" s="1" t="s">
        <v>124</v>
      </c>
    </row>
    <row r="103" spans="1:25" x14ac:dyDescent="0.3">
      <c r="A103" s="1" t="s">
        <v>329</v>
      </c>
      <c r="B103" s="1" t="s">
        <v>330</v>
      </c>
      <c r="C103" s="1" t="str">
        <f t="shared" si="4"/>
        <v>July</v>
      </c>
      <c r="D103" s="1" t="s">
        <v>74</v>
      </c>
      <c r="E103" s="1" t="s">
        <v>106</v>
      </c>
      <c r="F103" s="1" t="s">
        <v>51</v>
      </c>
      <c r="G103" s="1">
        <v>34</v>
      </c>
      <c r="H103" s="1" t="s">
        <v>62</v>
      </c>
      <c r="I103" s="1" t="s">
        <v>63</v>
      </c>
      <c r="J103" s="1" t="s">
        <v>28</v>
      </c>
      <c r="K103" s="1" t="s">
        <v>29</v>
      </c>
      <c r="L103" s="1" t="s">
        <v>29</v>
      </c>
      <c r="M103" s="1" t="s">
        <v>55</v>
      </c>
      <c r="N103" s="1" t="s">
        <v>56</v>
      </c>
      <c r="O103" s="1" t="s">
        <v>113</v>
      </c>
      <c r="P103" s="1">
        <v>2</v>
      </c>
      <c r="Q103" s="1">
        <v>860</v>
      </c>
      <c r="R103" s="1">
        <v>1239</v>
      </c>
      <c r="S103" s="1">
        <v>10</v>
      </c>
      <c r="T103" s="1">
        <f t="shared" si="5"/>
        <v>2230.2000000000003</v>
      </c>
      <c r="U103" s="1">
        <f t="shared" si="6"/>
        <v>1720</v>
      </c>
      <c r="V103" s="1">
        <f t="shared" si="7"/>
        <v>510.20000000000027</v>
      </c>
      <c r="W103" s="1" t="s">
        <v>44</v>
      </c>
      <c r="X103" s="1" t="s">
        <v>34</v>
      </c>
      <c r="Y103" s="1" t="s">
        <v>46</v>
      </c>
    </row>
    <row r="104" spans="1:25" x14ac:dyDescent="0.3">
      <c r="A104" s="1" t="s">
        <v>331</v>
      </c>
      <c r="B104" s="1" t="s">
        <v>332</v>
      </c>
      <c r="C104" s="1" t="str">
        <f t="shared" si="4"/>
        <v>April</v>
      </c>
      <c r="D104" s="1" t="s">
        <v>68</v>
      </c>
      <c r="E104" s="1" t="s">
        <v>244</v>
      </c>
      <c r="F104" s="1" t="s">
        <v>25</v>
      </c>
      <c r="G104" s="1">
        <v>46</v>
      </c>
      <c r="H104" s="1" t="s">
        <v>40</v>
      </c>
      <c r="I104" s="1" t="s">
        <v>41</v>
      </c>
      <c r="J104" s="1" t="s">
        <v>80</v>
      </c>
      <c r="K104" s="1" t="s">
        <v>81</v>
      </c>
      <c r="L104" s="1" t="s">
        <v>81</v>
      </c>
      <c r="M104" s="1" t="s">
        <v>86</v>
      </c>
      <c r="N104" s="1" t="s">
        <v>31</v>
      </c>
      <c r="O104" s="1" t="s">
        <v>57</v>
      </c>
      <c r="P104" s="1">
        <v>2</v>
      </c>
      <c r="Q104" s="1">
        <v>1178</v>
      </c>
      <c r="R104" s="1">
        <v>1633</v>
      </c>
      <c r="S104" s="1">
        <v>10</v>
      </c>
      <c r="T104" s="1">
        <f t="shared" si="5"/>
        <v>2939.4</v>
      </c>
      <c r="U104" s="1">
        <f t="shared" si="6"/>
        <v>2356</v>
      </c>
      <c r="V104" s="1">
        <f t="shared" si="7"/>
        <v>583.40000000000009</v>
      </c>
      <c r="W104" s="1" t="s">
        <v>66</v>
      </c>
      <c r="X104" s="1" t="s">
        <v>45</v>
      </c>
      <c r="Y104" s="1" t="s">
        <v>35</v>
      </c>
    </row>
    <row r="105" spans="1:25" x14ac:dyDescent="0.3">
      <c r="A105" s="1" t="s">
        <v>333</v>
      </c>
      <c r="B105" s="1" t="s">
        <v>334</v>
      </c>
      <c r="C105" s="1" t="str">
        <f t="shared" si="4"/>
        <v>June</v>
      </c>
      <c r="D105" s="1" t="s">
        <v>89</v>
      </c>
      <c r="E105" s="1" t="s">
        <v>39</v>
      </c>
      <c r="F105" s="1" t="s">
        <v>25</v>
      </c>
      <c r="G105" s="1">
        <v>27</v>
      </c>
      <c r="H105" s="1" t="s">
        <v>52</v>
      </c>
      <c r="I105" s="1" t="s">
        <v>52</v>
      </c>
      <c r="J105" s="1" t="s">
        <v>80</v>
      </c>
      <c r="K105" s="1" t="s">
        <v>81</v>
      </c>
      <c r="L105" s="1" t="s">
        <v>81</v>
      </c>
      <c r="M105" s="1" t="s">
        <v>82</v>
      </c>
      <c r="N105" s="1" t="s">
        <v>70</v>
      </c>
      <c r="O105" s="1" t="s">
        <v>57</v>
      </c>
      <c r="P105" s="1">
        <v>2</v>
      </c>
      <c r="Q105" s="1">
        <v>555</v>
      </c>
      <c r="R105" s="1">
        <v>960</v>
      </c>
      <c r="S105" s="1">
        <v>0</v>
      </c>
      <c r="T105" s="1">
        <f t="shared" si="5"/>
        <v>1920</v>
      </c>
      <c r="U105" s="1">
        <f t="shared" si="6"/>
        <v>1110</v>
      </c>
      <c r="V105" s="1">
        <f t="shared" si="7"/>
        <v>810</v>
      </c>
      <c r="W105" s="1" t="s">
        <v>33</v>
      </c>
      <c r="X105" s="1" t="s">
        <v>45</v>
      </c>
      <c r="Y105" s="1" t="s">
        <v>124</v>
      </c>
    </row>
    <row r="106" spans="1:25" x14ac:dyDescent="0.3">
      <c r="A106" s="1" t="s">
        <v>335</v>
      </c>
      <c r="B106" s="1" t="s">
        <v>336</v>
      </c>
      <c r="C106" s="1" t="str">
        <f t="shared" si="4"/>
        <v>July</v>
      </c>
      <c r="D106" s="1" t="s">
        <v>38</v>
      </c>
      <c r="E106" s="1" t="s">
        <v>337</v>
      </c>
      <c r="F106" s="1" t="s">
        <v>25</v>
      </c>
      <c r="G106" s="1">
        <v>40</v>
      </c>
      <c r="H106" s="1" t="s">
        <v>26</v>
      </c>
      <c r="I106" s="1" t="s">
        <v>27</v>
      </c>
      <c r="J106" s="1" t="s">
        <v>53</v>
      </c>
      <c r="K106" s="1" t="s">
        <v>54</v>
      </c>
      <c r="L106" s="1" t="s">
        <v>54</v>
      </c>
      <c r="M106" s="1" t="s">
        <v>65</v>
      </c>
      <c r="N106" s="1" t="s">
        <v>31</v>
      </c>
      <c r="O106" s="1" t="s">
        <v>32</v>
      </c>
      <c r="P106" s="1">
        <v>4</v>
      </c>
      <c r="Q106" s="1">
        <v>1495</v>
      </c>
      <c r="R106" s="1">
        <v>1764</v>
      </c>
      <c r="S106" s="1">
        <v>0</v>
      </c>
      <c r="T106" s="1">
        <f t="shared" si="5"/>
        <v>7056</v>
      </c>
      <c r="U106" s="1">
        <f t="shared" si="6"/>
        <v>5980</v>
      </c>
      <c r="V106" s="1">
        <f t="shared" si="7"/>
        <v>1076</v>
      </c>
      <c r="W106" s="1" t="s">
        <v>33</v>
      </c>
      <c r="X106" s="1" t="s">
        <v>34</v>
      </c>
      <c r="Y106" s="1" t="s">
        <v>35</v>
      </c>
    </row>
    <row r="107" spans="1:25" x14ac:dyDescent="0.3">
      <c r="A107" s="1" t="s">
        <v>338</v>
      </c>
      <c r="B107" s="1" t="s">
        <v>339</v>
      </c>
      <c r="C107" s="1" t="str">
        <f t="shared" si="4"/>
        <v>January</v>
      </c>
      <c r="D107" s="1" t="s">
        <v>85</v>
      </c>
      <c r="E107" s="1" t="s">
        <v>123</v>
      </c>
      <c r="F107" s="1" t="s">
        <v>25</v>
      </c>
      <c r="G107" s="1">
        <v>23</v>
      </c>
      <c r="H107" s="1" t="s">
        <v>52</v>
      </c>
      <c r="I107" s="1" t="s">
        <v>52</v>
      </c>
      <c r="J107" s="1" t="s">
        <v>28</v>
      </c>
      <c r="K107" s="1" t="s">
        <v>100</v>
      </c>
      <c r="L107" s="1" t="s">
        <v>100</v>
      </c>
      <c r="M107" s="1" t="s">
        <v>82</v>
      </c>
      <c r="N107" s="1" t="s">
        <v>31</v>
      </c>
      <c r="O107" s="1" t="s">
        <v>57</v>
      </c>
      <c r="P107" s="1">
        <v>1</v>
      </c>
      <c r="Q107" s="1">
        <v>981</v>
      </c>
      <c r="R107" s="1">
        <v>1707</v>
      </c>
      <c r="S107" s="1">
        <v>0</v>
      </c>
      <c r="T107" s="1">
        <f t="shared" si="5"/>
        <v>1707</v>
      </c>
      <c r="U107" s="1">
        <f t="shared" si="6"/>
        <v>981</v>
      </c>
      <c r="V107" s="1">
        <f t="shared" si="7"/>
        <v>726</v>
      </c>
      <c r="W107" s="1" t="s">
        <v>44</v>
      </c>
      <c r="X107" s="1" t="s">
        <v>45</v>
      </c>
      <c r="Y107" s="1" t="s">
        <v>46</v>
      </c>
    </row>
    <row r="108" spans="1:25" x14ac:dyDescent="0.3">
      <c r="A108" s="1" t="s">
        <v>340</v>
      </c>
      <c r="B108" s="1" t="s">
        <v>249</v>
      </c>
      <c r="C108" s="1" t="str">
        <f t="shared" si="4"/>
        <v>October</v>
      </c>
      <c r="D108" s="1" t="s">
        <v>38</v>
      </c>
      <c r="E108" s="1" t="s">
        <v>341</v>
      </c>
      <c r="F108" s="1" t="s">
        <v>51</v>
      </c>
      <c r="G108" s="1">
        <v>20</v>
      </c>
      <c r="H108" s="1" t="s">
        <v>52</v>
      </c>
      <c r="I108" s="1" t="s">
        <v>52</v>
      </c>
      <c r="J108" s="1" t="s">
        <v>28</v>
      </c>
      <c r="K108" s="1" t="s">
        <v>29</v>
      </c>
      <c r="L108" s="1" t="s">
        <v>29</v>
      </c>
      <c r="M108" s="1" t="s">
        <v>65</v>
      </c>
      <c r="N108" s="1" t="s">
        <v>70</v>
      </c>
      <c r="O108" s="1" t="s">
        <v>32</v>
      </c>
      <c r="P108" s="1">
        <v>3</v>
      </c>
      <c r="Q108" s="1">
        <v>845</v>
      </c>
      <c r="R108" s="1">
        <v>1155</v>
      </c>
      <c r="S108" s="1">
        <v>10</v>
      </c>
      <c r="T108" s="1">
        <f t="shared" si="5"/>
        <v>3118.5</v>
      </c>
      <c r="U108" s="1">
        <f t="shared" si="6"/>
        <v>2535</v>
      </c>
      <c r="V108" s="1">
        <f t="shared" si="7"/>
        <v>583.5</v>
      </c>
      <c r="W108" s="1" t="s">
        <v>44</v>
      </c>
      <c r="X108" s="1" t="s">
        <v>45</v>
      </c>
      <c r="Y108" s="1" t="s">
        <v>35</v>
      </c>
    </row>
    <row r="109" spans="1:25" x14ac:dyDescent="0.3">
      <c r="A109" s="1" t="s">
        <v>342</v>
      </c>
      <c r="B109" s="1" t="s">
        <v>258</v>
      </c>
      <c r="C109" s="1" t="str">
        <f t="shared" si="4"/>
        <v>November</v>
      </c>
      <c r="D109" s="1" t="s">
        <v>85</v>
      </c>
      <c r="E109" s="1" t="s">
        <v>146</v>
      </c>
      <c r="F109" s="1" t="s">
        <v>51</v>
      </c>
      <c r="G109" s="1">
        <v>35</v>
      </c>
      <c r="H109" s="1" t="s">
        <v>62</v>
      </c>
      <c r="I109" s="1" t="s">
        <v>63</v>
      </c>
      <c r="J109" s="1" t="s">
        <v>28</v>
      </c>
      <c r="K109" s="1" t="s">
        <v>29</v>
      </c>
      <c r="L109" s="1" t="s">
        <v>29</v>
      </c>
      <c r="M109" s="1" t="s">
        <v>65</v>
      </c>
      <c r="N109" s="1" t="s">
        <v>70</v>
      </c>
      <c r="O109" s="1" t="s">
        <v>43</v>
      </c>
      <c r="P109" s="1">
        <v>2</v>
      </c>
      <c r="Q109" s="1">
        <v>1061</v>
      </c>
      <c r="R109" s="1">
        <v>1740</v>
      </c>
      <c r="S109" s="1">
        <v>5</v>
      </c>
      <c r="T109" s="1">
        <f t="shared" si="5"/>
        <v>3306</v>
      </c>
      <c r="U109" s="1">
        <f t="shared" si="6"/>
        <v>2122</v>
      </c>
      <c r="V109" s="1">
        <f t="shared" si="7"/>
        <v>1184</v>
      </c>
      <c r="W109" s="1" t="s">
        <v>66</v>
      </c>
      <c r="X109" s="1" t="s">
        <v>45</v>
      </c>
      <c r="Y109" s="1" t="s">
        <v>46</v>
      </c>
    </row>
    <row r="110" spans="1:25" x14ac:dyDescent="0.3">
      <c r="A110" s="1" t="s">
        <v>343</v>
      </c>
      <c r="B110" s="1" t="s">
        <v>208</v>
      </c>
      <c r="C110" s="1" t="str">
        <f t="shared" si="4"/>
        <v>March</v>
      </c>
      <c r="D110" s="1" t="s">
        <v>78</v>
      </c>
      <c r="E110" s="1" t="s">
        <v>99</v>
      </c>
      <c r="F110" s="1" t="s">
        <v>51</v>
      </c>
      <c r="G110" s="1">
        <v>55</v>
      </c>
      <c r="H110" s="1" t="s">
        <v>40</v>
      </c>
      <c r="I110" s="1" t="s">
        <v>41</v>
      </c>
      <c r="J110" s="1" t="s">
        <v>28</v>
      </c>
      <c r="K110" s="1" t="s">
        <v>100</v>
      </c>
      <c r="L110" s="1" t="s">
        <v>100</v>
      </c>
      <c r="M110" s="1" t="s">
        <v>65</v>
      </c>
      <c r="N110" s="1" t="s">
        <v>56</v>
      </c>
      <c r="O110" s="1" t="s">
        <v>57</v>
      </c>
      <c r="P110" s="1">
        <v>2</v>
      </c>
      <c r="Q110" s="1">
        <v>700</v>
      </c>
      <c r="R110" s="1">
        <v>844</v>
      </c>
      <c r="S110" s="1">
        <v>0</v>
      </c>
      <c r="T110" s="1">
        <f t="shared" si="5"/>
        <v>1688</v>
      </c>
      <c r="U110" s="1">
        <f t="shared" si="6"/>
        <v>1400</v>
      </c>
      <c r="V110" s="1">
        <f t="shared" si="7"/>
        <v>288</v>
      </c>
      <c r="W110" s="1" t="s">
        <v>66</v>
      </c>
      <c r="X110" s="1" t="s">
        <v>34</v>
      </c>
      <c r="Y110" s="1" t="s">
        <v>124</v>
      </c>
    </row>
    <row r="111" spans="1:25" x14ac:dyDescent="0.3">
      <c r="A111" s="1" t="s">
        <v>344</v>
      </c>
      <c r="B111" s="1" t="s">
        <v>22</v>
      </c>
      <c r="C111" s="1" t="str">
        <f t="shared" si="4"/>
        <v>October</v>
      </c>
      <c r="D111" s="1" t="s">
        <v>60</v>
      </c>
      <c r="E111" s="1" t="s">
        <v>128</v>
      </c>
      <c r="F111" s="1" t="s">
        <v>25</v>
      </c>
      <c r="G111" s="1">
        <v>49</v>
      </c>
      <c r="H111" s="1" t="s">
        <v>40</v>
      </c>
      <c r="I111" s="1" t="s">
        <v>41</v>
      </c>
      <c r="J111" s="1" t="s">
        <v>28</v>
      </c>
      <c r="K111" s="1" t="s">
        <v>100</v>
      </c>
      <c r="L111" s="1" t="s">
        <v>100</v>
      </c>
      <c r="M111" s="1" t="s">
        <v>30</v>
      </c>
      <c r="N111" s="1" t="s">
        <v>42</v>
      </c>
      <c r="O111" s="1" t="s">
        <v>113</v>
      </c>
      <c r="P111" s="1">
        <v>3</v>
      </c>
      <c r="Q111" s="1">
        <v>692</v>
      </c>
      <c r="R111" s="1">
        <v>1255</v>
      </c>
      <c r="S111" s="1">
        <v>10</v>
      </c>
      <c r="T111" s="1">
        <f t="shared" si="5"/>
        <v>3388.5</v>
      </c>
      <c r="U111" s="1">
        <f t="shared" si="6"/>
        <v>2076</v>
      </c>
      <c r="V111" s="1">
        <f t="shared" si="7"/>
        <v>1312.5</v>
      </c>
      <c r="W111" s="1" t="s">
        <v>44</v>
      </c>
      <c r="X111" s="1" t="s">
        <v>34</v>
      </c>
      <c r="Y111" s="1" t="s">
        <v>124</v>
      </c>
    </row>
    <row r="112" spans="1:25" x14ac:dyDescent="0.3">
      <c r="A112" s="1" t="s">
        <v>345</v>
      </c>
      <c r="B112" s="1" t="s">
        <v>346</v>
      </c>
      <c r="C112" s="1" t="str">
        <f t="shared" si="4"/>
        <v>February</v>
      </c>
      <c r="D112" s="1" t="s">
        <v>38</v>
      </c>
      <c r="E112" s="1" t="s">
        <v>347</v>
      </c>
      <c r="F112" s="1" t="s">
        <v>25</v>
      </c>
      <c r="G112" s="1">
        <v>26</v>
      </c>
      <c r="H112" s="1" t="s">
        <v>26</v>
      </c>
      <c r="I112" s="1" t="s">
        <v>27</v>
      </c>
      <c r="J112" s="1" t="s">
        <v>28</v>
      </c>
      <c r="K112" s="1" t="s">
        <v>100</v>
      </c>
      <c r="L112" s="1" t="s">
        <v>100</v>
      </c>
      <c r="M112" s="1" t="s">
        <v>82</v>
      </c>
      <c r="N112" s="1" t="s">
        <v>56</v>
      </c>
      <c r="O112" s="1" t="s">
        <v>43</v>
      </c>
      <c r="P112" s="1">
        <v>3</v>
      </c>
      <c r="Q112" s="1">
        <v>596</v>
      </c>
      <c r="R112" s="1">
        <v>1257</v>
      </c>
      <c r="S112" s="1">
        <v>5</v>
      </c>
      <c r="T112" s="1">
        <f t="shared" si="5"/>
        <v>3582.45</v>
      </c>
      <c r="U112" s="1">
        <f t="shared" si="6"/>
        <v>1788</v>
      </c>
      <c r="V112" s="1">
        <f t="shared" si="7"/>
        <v>1794.4499999999998</v>
      </c>
      <c r="W112" s="1" t="s">
        <v>33</v>
      </c>
      <c r="X112" s="1" t="s">
        <v>45</v>
      </c>
      <c r="Y112" s="1" t="s">
        <v>124</v>
      </c>
    </row>
    <row r="113" spans="1:25" x14ac:dyDescent="0.3">
      <c r="A113" s="1" t="s">
        <v>348</v>
      </c>
      <c r="B113" s="1" t="s">
        <v>336</v>
      </c>
      <c r="C113" s="1" t="str">
        <f t="shared" si="4"/>
        <v>July</v>
      </c>
      <c r="D113" s="1" t="s">
        <v>349</v>
      </c>
      <c r="E113" s="1" t="s">
        <v>350</v>
      </c>
      <c r="F113" s="1" t="s">
        <v>25</v>
      </c>
      <c r="G113" s="1">
        <v>39</v>
      </c>
      <c r="H113" s="1" t="s">
        <v>52</v>
      </c>
      <c r="I113" s="1" t="s">
        <v>52</v>
      </c>
      <c r="J113" s="1" t="s">
        <v>28</v>
      </c>
      <c r="K113" s="1" t="s">
        <v>29</v>
      </c>
      <c r="L113" s="1" t="s">
        <v>29</v>
      </c>
      <c r="M113" s="1" t="s">
        <v>65</v>
      </c>
      <c r="N113" s="1" t="s">
        <v>42</v>
      </c>
      <c r="O113" s="1" t="s">
        <v>32</v>
      </c>
      <c r="P113" s="1">
        <v>2</v>
      </c>
      <c r="Q113" s="1">
        <v>1325</v>
      </c>
      <c r="R113" s="1">
        <v>1760</v>
      </c>
      <c r="S113" s="1">
        <v>5</v>
      </c>
      <c r="T113" s="1">
        <f t="shared" si="5"/>
        <v>3344</v>
      </c>
      <c r="U113" s="1">
        <f t="shared" si="6"/>
        <v>2650</v>
      </c>
      <c r="V113" s="1">
        <f t="shared" si="7"/>
        <v>694</v>
      </c>
      <c r="W113" s="1" t="s">
        <v>44</v>
      </c>
      <c r="X113" s="1" t="s">
        <v>34</v>
      </c>
      <c r="Y113" s="1" t="s">
        <v>124</v>
      </c>
    </row>
    <row r="114" spans="1:25" x14ac:dyDescent="0.3">
      <c r="A114" s="1" t="s">
        <v>351</v>
      </c>
      <c r="B114" s="1" t="s">
        <v>352</v>
      </c>
      <c r="C114" s="1" t="str">
        <f t="shared" si="4"/>
        <v>October</v>
      </c>
      <c r="D114" s="1" t="s">
        <v>78</v>
      </c>
      <c r="E114" s="1" t="s">
        <v>300</v>
      </c>
      <c r="F114" s="1" t="s">
        <v>25</v>
      </c>
      <c r="G114" s="1">
        <v>49</v>
      </c>
      <c r="H114" s="1" t="s">
        <v>26</v>
      </c>
      <c r="I114" s="1" t="s">
        <v>27</v>
      </c>
      <c r="J114" s="1" t="s">
        <v>28</v>
      </c>
      <c r="K114" s="1" t="s">
        <v>29</v>
      </c>
      <c r="L114" s="1" t="s">
        <v>29</v>
      </c>
      <c r="M114" s="1" t="s">
        <v>86</v>
      </c>
      <c r="N114" s="1" t="s">
        <v>31</v>
      </c>
      <c r="O114" s="1" t="s">
        <v>71</v>
      </c>
      <c r="P114" s="1">
        <v>3</v>
      </c>
      <c r="Q114" s="1">
        <v>1467</v>
      </c>
      <c r="R114" s="1">
        <v>1951</v>
      </c>
      <c r="S114" s="1">
        <v>0</v>
      </c>
      <c r="T114" s="1">
        <f t="shared" si="5"/>
        <v>5853</v>
      </c>
      <c r="U114" s="1">
        <f t="shared" si="6"/>
        <v>4401</v>
      </c>
      <c r="V114" s="1">
        <f t="shared" si="7"/>
        <v>1452</v>
      </c>
      <c r="W114" s="1" t="s">
        <v>66</v>
      </c>
      <c r="X114" s="1" t="s">
        <v>45</v>
      </c>
      <c r="Y114" s="1" t="s">
        <v>35</v>
      </c>
    </row>
    <row r="115" spans="1:25" x14ac:dyDescent="0.3">
      <c r="A115" s="1" t="s">
        <v>353</v>
      </c>
      <c r="B115" s="1" t="s">
        <v>354</v>
      </c>
      <c r="C115" s="1" t="str">
        <f t="shared" si="4"/>
        <v>August</v>
      </c>
      <c r="D115" s="1" t="s">
        <v>74</v>
      </c>
      <c r="E115" s="1" t="s">
        <v>95</v>
      </c>
      <c r="F115" s="1" t="s">
        <v>51</v>
      </c>
      <c r="G115" s="1">
        <v>21</v>
      </c>
      <c r="H115" s="1" t="s">
        <v>40</v>
      </c>
      <c r="I115" s="1" t="s">
        <v>41</v>
      </c>
      <c r="J115" s="1" t="s">
        <v>80</v>
      </c>
      <c r="K115" s="1" t="s">
        <v>81</v>
      </c>
      <c r="L115" s="1" t="s">
        <v>81</v>
      </c>
      <c r="M115" s="1" t="s">
        <v>86</v>
      </c>
      <c r="N115" s="1" t="s">
        <v>31</v>
      </c>
      <c r="O115" s="1" t="s">
        <v>57</v>
      </c>
      <c r="P115" s="1">
        <v>5</v>
      </c>
      <c r="Q115" s="1">
        <v>1195</v>
      </c>
      <c r="R115" s="1">
        <v>1564</v>
      </c>
      <c r="S115" s="1">
        <v>10</v>
      </c>
      <c r="T115" s="1">
        <f t="shared" si="5"/>
        <v>7038</v>
      </c>
      <c r="U115" s="1">
        <f t="shared" si="6"/>
        <v>5975</v>
      </c>
      <c r="V115" s="1">
        <f t="shared" si="7"/>
        <v>1063</v>
      </c>
      <c r="W115" s="1" t="s">
        <v>66</v>
      </c>
      <c r="X115" s="1" t="s">
        <v>34</v>
      </c>
      <c r="Y115" s="1" t="s">
        <v>124</v>
      </c>
    </row>
    <row r="116" spans="1:25" x14ac:dyDescent="0.3">
      <c r="A116" s="1" t="s">
        <v>355</v>
      </c>
      <c r="B116" s="1" t="s">
        <v>356</v>
      </c>
      <c r="C116" s="1" t="str">
        <f t="shared" si="4"/>
        <v>February</v>
      </c>
      <c r="D116" s="1" t="s">
        <v>74</v>
      </c>
      <c r="E116" s="1" t="s">
        <v>143</v>
      </c>
      <c r="F116" s="1" t="s">
        <v>25</v>
      </c>
      <c r="G116" s="1">
        <v>54</v>
      </c>
      <c r="H116" s="1" t="s">
        <v>62</v>
      </c>
      <c r="I116" s="1" t="s">
        <v>63</v>
      </c>
      <c r="J116" s="1" t="s">
        <v>80</v>
      </c>
      <c r="K116" s="1" t="s">
        <v>117</v>
      </c>
      <c r="L116" s="1" t="s">
        <v>117</v>
      </c>
      <c r="M116" s="1" t="s">
        <v>65</v>
      </c>
      <c r="N116" s="1" t="s">
        <v>42</v>
      </c>
      <c r="O116" s="1" t="s">
        <v>57</v>
      </c>
      <c r="P116" s="1">
        <v>1</v>
      </c>
      <c r="Q116" s="1">
        <v>559</v>
      </c>
      <c r="R116" s="1">
        <v>751</v>
      </c>
      <c r="S116" s="1">
        <v>0</v>
      </c>
      <c r="T116" s="1">
        <f t="shared" si="5"/>
        <v>751</v>
      </c>
      <c r="U116" s="1">
        <f t="shared" si="6"/>
        <v>559</v>
      </c>
      <c r="V116" s="1">
        <f t="shared" si="7"/>
        <v>192</v>
      </c>
      <c r="W116" s="1" t="s">
        <v>33</v>
      </c>
      <c r="X116" s="1" t="s">
        <v>34</v>
      </c>
      <c r="Y116" s="1" t="s">
        <v>46</v>
      </c>
    </row>
    <row r="117" spans="1:25" x14ac:dyDescent="0.3">
      <c r="A117" s="1" t="s">
        <v>357</v>
      </c>
      <c r="B117" s="1" t="s">
        <v>358</v>
      </c>
      <c r="C117" s="1" t="str">
        <f t="shared" si="4"/>
        <v>July</v>
      </c>
      <c r="D117" s="1" t="s">
        <v>127</v>
      </c>
      <c r="E117" s="1" t="s">
        <v>347</v>
      </c>
      <c r="F117" s="1" t="s">
        <v>51</v>
      </c>
      <c r="G117" s="1">
        <v>25</v>
      </c>
      <c r="H117" s="1" t="s">
        <v>91</v>
      </c>
      <c r="I117" s="1" t="s">
        <v>92</v>
      </c>
      <c r="J117" s="1" t="s">
        <v>53</v>
      </c>
      <c r="K117" s="1" t="s">
        <v>54</v>
      </c>
      <c r="L117" s="1" t="s">
        <v>54</v>
      </c>
      <c r="M117" s="1" t="s">
        <v>82</v>
      </c>
      <c r="N117" s="1" t="s">
        <v>56</v>
      </c>
      <c r="O117" s="1" t="s">
        <v>113</v>
      </c>
      <c r="P117" s="1">
        <v>3</v>
      </c>
      <c r="Q117" s="1">
        <v>1252</v>
      </c>
      <c r="R117" s="1">
        <v>2018</v>
      </c>
      <c r="S117" s="1">
        <v>20</v>
      </c>
      <c r="T117" s="1">
        <f t="shared" si="5"/>
        <v>4843.2</v>
      </c>
      <c r="U117" s="1">
        <f t="shared" si="6"/>
        <v>3756</v>
      </c>
      <c r="V117" s="1">
        <f t="shared" si="7"/>
        <v>1087.1999999999998</v>
      </c>
      <c r="W117" s="1" t="s">
        <v>66</v>
      </c>
      <c r="X117" s="1" t="s">
        <v>45</v>
      </c>
      <c r="Y117" s="1" t="s">
        <v>46</v>
      </c>
    </row>
    <row r="118" spans="1:25" x14ac:dyDescent="0.3">
      <c r="A118" s="1" t="s">
        <v>359</v>
      </c>
      <c r="B118" s="1" t="s">
        <v>360</v>
      </c>
      <c r="C118" s="1" t="str">
        <f t="shared" si="4"/>
        <v>February</v>
      </c>
      <c r="D118" s="1" t="s">
        <v>68</v>
      </c>
      <c r="E118" s="1" t="s">
        <v>198</v>
      </c>
      <c r="F118" s="1" t="s">
        <v>51</v>
      </c>
      <c r="G118" s="1">
        <v>43</v>
      </c>
      <c r="H118" s="1" t="s">
        <v>26</v>
      </c>
      <c r="I118" s="1" t="s">
        <v>27</v>
      </c>
      <c r="J118" s="1" t="s">
        <v>80</v>
      </c>
      <c r="K118" s="1" t="s">
        <v>81</v>
      </c>
      <c r="L118" s="1" t="s">
        <v>81</v>
      </c>
      <c r="M118" s="1" t="s">
        <v>65</v>
      </c>
      <c r="N118" s="1" t="s">
        <v>31</v>
      </c>
      <c r="O118" s="1" t="s">
        <v>71</v>
      </c>
      <c r="P118" s="1">
        <v>4</v>
      </c>
      <c r="Q118" s="1">
        <v>1358</v>
      </c>
      <c r="R118" s="1">
        <v>1505</v>
      </c>
      <c r="S118" s="1">
        <v>0</v>
      </c>
      <c r="T118" s="1">
        <f t="shared" si="5"/>
        <v>6020</v>
      </c>
      <c r="U118" s="1">
        <f t="shared" si="6"/>
        <v>5432</v>
      </c>
      <c r="V118" s="1">
        <f t="shared" si="7"/>
        <v>588</v>
      </c>
      <c r="W118" s="1" t="s">
        <v>44</v>
      </c>
      <c r="X118" s="1" t="s">
        <v>34</v>
      </c>
      <c r="Y118" s="1" t="s">
        <v>35</v>
      </c>
    </row>
    <row r="119" spans="1:25" x14ac:dyDescent="0.3">
      <c r="A119" s="1" t="s">
        <v>361</v>
      </c>
      <c r="B119" s="1" t="s">
        <v>302</v>
      </c>
      <c r="C119" s="1" t="str">
        <f t="shared" si="4"/>
        <v>September</v>
      </c>
      <c r="D119" s="1" t="s">
        <v>60</v>
      </c>
      <c r="E119" s="1" t="s">
        <v>200</v>
      </c>
      <c r="F119" s="1" t="s">
        <v>25</v>
      </c>
      <c r="G119" s="1">
        <v>42</v>
      </c>
      <c r="H119" s="1" t="s">
        <v>40</v>
      </c>
      <c r="I119" s="1" t="s">
        <v>41</v>
      </c>
      <c r="J119" s="1" t="s">
        <v>80</v>
      </c>
      <c r="K119" s="1" t="s">
        <v>81</v>
      </c>
      <c r="L119" s="1" t="s">
        <v>81</v>
      </c>
      <c r="M119" s="1" t="s">
        <v>30</v>
      </c>
      <c r="N119" s="1" t="s">
        <v>70</v>
      </c>
      <c r="O119" s="1" t="s">
        <v>71</v>
      </c>
      <c r="P119" s="1">
        <v>3</v>
      </c>
      <c r="Q119" s="1">
        <v>604</v>
      </c>
      <c r="R119" s="1">
        <v>1257</v>
      </c>
      <c r="S119" s="1">
        <v>0</v>
      </c>
      <c r="T119" s="1">
        <f t="shared" si="5"/>
        <v>3771</v>
      </c>
      <c r="U119" s="1">
        <f t="shared" si="6"/>
        <v>1812</v>
      </c>
      <c r="V119" s="1">
        <f t="shared" si="7"/>
        <v>1959</v>
      </c>
      <c r="W119" s="1" t="s">
        <v>44</v>
      </c>
      <c r="X119" s="1" t="s">
        <v>45</v>
      </c>
      <c r="Y119" s="1" t="s">
        <v>124</v>
      </c>
    </row>
    <row r="120" spans="1:25" x14ac:dyDescent="0.3">
      <c r="A120" s="1" t="s">
        <v>362</v>
      </c>
      <c r="B120" s="1" t="s">
        <v>363</v>
      </c>
      <c r="C120" s="1" t="str">
        <f t="shared" si="4"/>
        <v>February</v>
      </c>
      <c r="D120" s="1" t="s">
        <v>127</v>
      </c>
      <c r="E120" s="1" t="s">
        <v>50</v>
      </c>
      <c r="F120" s="1" t="s">
        <v>51</v>
      </c>
      <c r="G120" s="1">
        <v>49</v>
      </c>
      <c r="H120" s="1" t="s">
        <v>26</v>
      </c>
      <c r="I120" s="1" t="s">
        <v>27</v>
      </c>
      <c r="J120" s="1" t="s">
        <v>53</v>
      </c>
      <c r="K120" s="1" t="s">
        <v>64</v>
      </c>
      <c r="L120" s="1" t="s">
        <v>64</v>
      </c>
      <c r="M120" s="1" t="s">
        <v>55</v>
      </c>
      <c r="N120" s="1" t="s">
        <v>42</v>
      </c>
      <c r="O120" s="1" t="s">
        <v>57</v>
      </c>
      <c r="P120" s="1">
        <v>3</v>
      </c>
      <c r="Q120" s="1">
        <v>302</v>
      </c>
      <c r="R120" s="1">
        <v>560</v>
      </c>
      <c r="S120" s="1">
        <v>10</v>
      </c>
      <c r="T120" s="1">
        <f t="shared" si="5"/>
        <v>1512</v>
      </c>
      <c r="U120" s="1">
        <f t="shared" si="6"/>
        <v>906</v>
      </c>
      <c r="V120" s="1">
        <f t="shared" si="7"/>
        <v>606</v>
      </c>
      <c r="W120" s="1" t="s">
        <v>33</v>
      </c>
      <c r="X120" s="1" t="s">
        <v>34</v>
      </c>
      <c r="Y120" s="1" t="s">
        <v>35</v>
      </c>
    </row>
    <row r="121" spans="1:25" x14ac:dyDescent="0.3">
      <c r="A121" s="1" t="s">
        <v>364</v>
      </c>
      <c r="B121" s="1" t="s">
        <v>365</v>
      </c>
      <c r="C121" s="1" t="str">
        <f t="shared" si="4"/>
        <v>May</v>
      </c>
      <c r="D121" s="1" t="s">
        <v>98</v>
      </c>
      <c r="E121" s="1" t="s">
        <v>183</v>
      </c>
      <c r="F121" s="1" t="s">
        <v>51</v>
      </c>
      <c r="G121" s="1">
        <v>22</v>
      </c>
      <c r="H121" s="1" t="s">
        <v>40</v>
      </c>
      <c r="I121" s="1" t="s">
        <v>41</v>
      </c>
      <c r="J121" s="1" t="s">
        <v>53</v>
      </c>
      <c r="K121" s="1" t="s">
        <v>64</v>
      </c>
      <c r="L121" s="1" t="s">
        <v>64</v>
      </c>
      <c r="M121" s="1" t="s">
        <v>82</v>
      </c>
      <c r="N121" s="1" t="s">
        <v>56</v>
      </c>
      <c r="O121" s="1" t="s">
        <v>43</v>
      </c>
      <c r="P121" s="1">
        <v>2</v>
      </c>
      <c r="Q121" s="1">
        <v>911</v>
      </c>
      <c r="R121" s="1">
        <v>1283</v>
      </c>
      <c r="S121" s="1">
        <v>10</v>
      </c>
      <c r="T121" s="1">
        <f t="shared" si="5"/>
        <v>2309.4</v>
      </c>
      <c r="U121" s="1">
        <f t="shared" si="6"/>
        <v>1822</v>
      </c>
      <c r="V121" s="1">
        <f t="shared" si="7"/>
        <v>487.40000000000009</v>
      </c>
      <c r="W121" s="1" t="s">
        <v>33</v>
      </c>
      <c r="X121" s="1" t="s">
        <v>45</v>
      </c>
      <c r="Y121" s="1" t="s">
        <v>35</v>
      </c>
    </row>
    <row r="122" spans="1:25" x14ac:dyDescent="0.3">
      <c r="A122" s="1" t="s">
        <v>366</v>
      </c>
      <c r="B122" s="1" t="s">
        <v>367</v>
      </c>
      <c r="C122" s="1" t="str">
        <f t="shared" si="4"/>
        <v>October</v>
      </c>
      <c r="D122" s="1" t="s">
        <v>38</v>
      </c>
      <c r="E122" s="1" t="s">
        <v>175</v>
      </c>
      <c r="F122" s="1" t="s">
        <v>25</v>
      </c>
      <c r="G122" s="1">
        <v>21</v>
      </c>
      <c r="H122" s="1" t="s">
        <v>40</v>
      </c>
      <c r="I122" s="1" t="s">
        <v>41</v>
      </c>
      <c r="J122" s="1" t="s">
        <v>28</v>
      </c>
      <c r="K122" s="1" t="s">
        <v>29</v>
      </c>
      <c r="L122" s="1" t="s">
        <v>29</v>
      </c>
      <c r="M122" s="1" t="s">
        <v>55</v>
      </c>
      <c r="N122" s="1" t="s">
        <v>56</v>
      </c>
      <c r="O122" s="1" t="s">
        <v>43</v>
      </c>
      <c r="P122" s="1">
        <v>5</v>
      </c>
      <c r="Q122" s="1">
        <v>1152</v>
      </c>
      <c r="R122" s="1">
        <v>1934</v>
      </c>
      <c r="S122" s="1">
        <v>5</v>
      </c>
      <c r="T122" s="1">
        <f t="shared" si="5"/>
        <v>9186.5</v>
      </c>
      <c r="U122" s="1">
        <f t="shared" si="6"/>
        <v>5760</v>
      </c>
      <c r="V122" s="1">
        <f t="shared" si="7"/>
        <v>3426.5</v>
      </c>
      <c r="W122" s="1" t="s">
        <v>44</v>
      </c>
      <c r="X122" s="1" t="s">
        <v>34</v>
      </c>
      <c r="Y122" s="1" t="s">
        <v>46</v>
      </c>
    </row>
    <row r="123" spans="1:25" x14ac:dyDescent="0.3">
      <c r="A123" s="1" t="s">
        <v>368</v>
      </c>
      <c r="B123" s="1" t="s">
        <v>177</v>
      </c>
      <c r="C123" s="1" t="str">
        <f t="shared" si="4"/>
        <v>March</v>
      </c>
      <c r="D123" s="1" t="s">
        <v>89</v>
      </c>
      <c r="E123" s="1" t="s">
        <v>369</v>
      </c>
      <c r="F123" s="1" t="s">
        <v>25</v>
      </c>
      <c r="G123" s="1">
        <v>42</v>
      </c>
      <c r="H123" s="1" t="s">
        <v>62</v>
      </c>
      <c r="I123" s="1" t="s">
        <v>63</v>
      </c>
      <c r="J123" s="1" t="s">
        <v>80</v>
      </c>
      <c r="K123" s="1" t="s">
        <v>81</v>
      </c>
      <c r="L123" s="1" t="s">
        <v>81</v>
      </c>
      <c r="M123" s="1" t="s">
        <v>30</v>
      </c>
      <c r="N123" s="1" t="s">
        <v>31</v>
      </c>
      <c r="O123" s="1" t="s">
        <v>43</v>
      </c>
      <c r="P123" s="1">
        <v>1</v>
      </c>
      <c r="Q123" s="1">
        <v>981</v>
      </c>
      <c r="R123" s="1">
        <v>1470</v>
      </c>
      <c r="S123" s="1">
        <v>5</v>
      </c>
      <c r="T123" s="1">
        <f t="shared" si="5"/>
        <v>1396.5</v>
      </c>
      <c r="U123" s="1">
        <f t="shared" si="6"/>
        <v>981</v>
      </c>
      <c r="V123" s="1">
        <f t="shared" si="7"/>
        <v>415.5</v>
      </c>
      <c r="W123" s="1" t="s">
        <v>44</v>
      </c>
      <c r="X123" s="1" t="s">
        <v>34</v>
      </c>
      <c r="Y123" s="1" t="s">
        <v>35</v>
      </c>
    </row>
    <row r="124" spans="1:25" x14ac:dyDescent="0.3">
      <c r="A124" s="1" t="s">
        <v>370</v>
      </c>
      <c r="B124" s="1" t="s">
        <v>371</v>
      </c>
      <c r="C124" s="1" t="str">
        <f t="shared" si="4"/>
        <v>August</v>
      </c>
      <c r="D124" s="1" t="s">
        <v>68</v>
      </c>
      <c r="E124" s="1" t="s">
        <v>372</v>
      </c>
      <c r="F124" s="1" t="s">
        <v>25</v>
      </c>
      <c r="G124" s="1">
        <v>36</v>
      </c>
      <c r="H124" s="1" t="s">
        <v>62</v>
      </c>
      <c r="I124" s="1" t="s">
        <v>63</v>
      </c>
      <c r="J124" s="1" t="s">
        <v>28</v>
      </c>
      <c r="K124" s="1" t="s">
        <v>29</v>
      </c>
      <c r="L124" s="1" t="s">
        <v>29</v>
      </c>
      <c r="M124" s="1" t="s">
        <v>30</v>
      </c>
      <c r="N124" s="1" t="s">
        <v>70</v>
      </c>
      <c r="O124" s="1" t="s">
        <v>32</v>
      </c>
      <c r="P124" s="1">
        <v>4</v>
      </c>
      <c r="Q124" s="1">
        <v>950</v>
      </c>
      <c r="R124" s="1">
        <v>1465</v>
      </c>
      <c r="S124" s="1">
        <v>10</v>
      </c>
      <c r="T124" s="1">
        <f t="shared" si="5"/>
        <v>5274</v>
      </c>
      <c r="U124" s="1">
        <f t="shared" si="6"/>
        <v>3800</v>
      </c>
      <c r="V124" s="1">
        <f t="shared" si="7"/>
        <v>1474</v>
      </c>
      <c r="W124" s="1" t="s">
        <v>44</v>
      </c>
      <c r="X124" s="1" t="s">
        <v>34</v>
      </c>
      <c r="Y124" s="1" t="s">
        <v>124</v>
      </c>
    </row>
    <row r="125" spans="1:25" x14ac:dyDescent="0.3">
      <c r="A125" s="1" t="s">
        <v>373</v>
      </c>
      <c r="B125" s="1" t="s">
        <v>374</v>
      </c>
      <c r="C125" s="1" t="str">
        <f t="shared" si="4"/>
        <v>August</v>
      </c>
      <c r="D125" s="1" t="s">
        <v>89</v>
      </c>
      <c r="E125" s="1" t="s">
        <v>375</v>
      </c>
      <c r="F125" s="1" t="s">
        <v>25</v>
      </c>
      <c r="G125" s="1">
        <v>27</v>
      </c>
      <c r="H125" s="1" t="s">
        <v>62</v>
      </c>
      <c r="I125" s="1" t="s">
        <v>63</v>
      </c>
      <c r="J125" s="1" t="s">
        <v>53</v>
      </c>
      <c r="K125" s="1" t="s">
        <v>54</v>
      </c>
      <c r="L125" s="1" t="s">
        <v>54</v>
      </c>
      <c r="M125" s="1" t="s">
        <v>86</v>
      </c>
      <c r="N125" s="1" t="s">
        <v>70</v>
      </c>
      <c r="O125" s="1" t="s">
        <v>71</v>
      </c>
      <c r="P125" s="1">
        <v>4</v>
      </c>
      <c r="Q125" s="1">
        <v>301</v>
      </c>
      <c r="R125" s="1">
        <v>537</v>
      </c>
      <c r="S125" s="1">
        <v>0</v>
      </c>
      <c r="T125" s="1">
        <f t="shared" si="5"/>
        <v>2148</v>
      </c>
      <c r="U125" s="1">
        <f t="shared" si="6"/>
        <v>1204</v>
      </c>
      <c r="V125" s="1">
        <f t="shared" si="7"/>
        <v>944</v>
      </c>
      <c r="W125" s="1" t="s">
        <v>33</v>
      </c>
      <c r="X125" s="1" t="s">
        <v>45</v>
      </c>
      <c r="Y125" s="1" t="s">
        <v>124</v>
      </c>
    </row>
    <row r="126" spans="1:25" x14ac:dyDescent="0.3">
      <c r="A126" s="1" t="s">
        <v>376</v>
      </c>
      <c r="B126" s="1" t="s">
        <v>377</v>
      </c>
      <c r="C126" s="1" t="str">
        <f t="shared" si="4"/>
        <v>February</v>
      </c>
      <c r="D126" s="1" t="s">
        <v>127</v>
      </c>
      <c r="E126" s="1" t="s">
        <v>140</v>
      </c>
      <c r="F126" s="1" t="s">
        <v>25</v>
      </c>
      <c r="G126" s="1">
        <v>36</v>
      </c>
      <c r="H126" s="1" t="s">
        <v>26</v>
      </c>
      <c r="I126" s="1" t="s">
        <v>27</v>
      </c>
      <c r="J126" s="1" t="s">
        <v>53</v>
      </c>
      <c r="K126" s="1" t="s">
        <v>54</v>
      </c>
      <c r="L126" s="1" t="s">
        <v>54</v>
      </c>
      <c r="M126" s="1" t="s">
        <v>82</v>
      </c>
      <c r="N126" s="1" t="s">
        <v>70</v>
      </c>
      <c r="O126" s="1" t="s">
        <v>113</v>
      </c>
      <c r="P126" s="1">
        <v>5</v>
      </c>
      <c r="Q126" s="1">
        <v>817</v>
      </c>
      <c r="R126" s="1">
        <v>1007</v>
      </c>
      <c r="S126" s="1">
        <v>5</v>
      </c>
      <c r="T126" s="1">
        <f t="shared" si="5"/>
        <v>4783.25</v>
      </c>
      <c r="U126" s="1">
        <f t="shared" si="6"/>
        <v>4085</v>
      </c>
      <c r="V126" s="1">
        <f t="shared" si="7"/>
        <v>698.25</v>
      </c>
      <c r="W126" s="1" t="s">
        <v>33</v>
      </c>
      <c r="X126" s="1" t="s">
        <v>45</v>
      </c>
      <c r="Y126" s="1" t="s">
        <v>35</v>
      </c>
    </row>
    <row r="127" spans="1:25" x14ac:dyDescent="0.3">
      <c r="A127" s="1" t="s">
        <v>378</v>
      </c>
      <c r="B127" s="1" t="s">
        <v>379</v>
      </c>
      <c r="C127" s="1" t="str">
        <f t="shared" si="4"/>
        <v>June</v>
      </c>
      <c r="D127" s="1" t="s">
        <v>89</v>
      </c>
      <c r="E127" s="1" t="s">
        <v>183</v>
      </c>
      <c r="F127" s="1" t="s">
        <v>51</v>
      </c>
      <c r="G127" s="1">
        <v>22</v>
      </c>
      <c r="H127" s="1" t="s">
        <v>62</v>
      </c>
      <c r="I127" s="1" t="s">
        <v>63</v>
      </c>
      <c r="J127" s="1" t="s">
        <v>53</v>
      </c>
      <c r="K127" s="1" t="s">
        <v>64</v>
      </c>
      <c r="L127" s="1" t="s">
        <v>64</v>
      </c>
      <c r="M127" s="1" t="s">
        <v>55</v>
      </c>
      <c r="N127" s="1" t="s">
        <v>70</v>
      </c>
      <c r="O127" s="1" t="s">
        <v>71</v>
      </c>
      <c r="P127" s="1">
        <v>2</v>
      </c>
      <c r="Q127" s="1">
        <v>563</v>
      </c>
      <c r="R127" s="1">
        <v>1127</v>
      </c>
      <c r="S127" s="1">
        <v>10</v>
      </c>
      <c r="T127" s="1">
        <f t="shared" si="5"/>
        <v>2028.6000000000001</v>
      </c>
      <c r="U127" s="1">
        <f t="shared" si="6"/>
        <v>1126</v>
      </c>
      <c r="V127" s="1">
        <f t="shared" si="7"/>
        <v>902.60000000000014</v>
      </c>
      <c r="W127" s="1" t="s">
        <v>66</v>
      </c>
      <c r="X127" s="1" t="s">
        <v>34</v>
      </c>
      <c r="Y127" s="1" t="s">
        <v>46</v>
      </c>
    </row>
    <row r="128" spans="1:25" x14ac:dyDescent="0.3">
      <c r="A128" s="1" t="s">
        <v>380</v>
      </c>
      <c r="B128" s="1" t="s">
        <v>381</v>
      </c>
      <c r="C128" s="1" t="str">
        <f t="shared" si="4"/>
        <v>March</v>
      </c>
      <c r="D128" s="1" t="s">
        <v>85</v>
      </c>
      <c r="E128" s="1" t="s">
        <v>350</v>
      </c>
      <c r="F128" s="1" t="s">
        <v>25</v>
      </c>
      <c r="G128" s="1">
        <v>40</v>
      </c>
      <c r="H128" s="1" t="s">
        <v>26</v>
      </c>
      <c r="I128" s="1" t="s">
        <v>27</v>
      </c>
      <c r="J128" s="1" t="s">
        <v>80</v>
      </c>
      <c r="K128" s="1" t="s">
        <v>81</v>
      </c>
      <c r="L128" s="1" t="s">
        <v>81</v>
      </c>
      <c r="M128" s="1" t="s">
        <v>30</v>
      </c>
      <c r="N128" s="1" t="s">
        <v>31</v>
      </c>
      <c r="O128" s="1" t="s">
        <v>43</v>
      </c>
      <c r="P128" s="1">
        <v>4</v>
      </c>
      <c r="Q128" s="1">
        <v>1383</v>
      </c>
      <c r="R128" s="1">
        <v>2160</v>
      </c>
      <c r="S128" s="1">
        <v>0</v>
      </c>
      <c r="T128" s="1">
        <f t="shared" si="5"/>
        <v>8640</v>
      </c>
      <c r="U128" s="1">
        <f t="shared" si="6"/>
        <v>5532</v>
      </c>
      <c r="V128" s="1">
        <f t="shared" si="7"/>
        <v>3108</v>
      </c>
      <c r="W128" s="1" t="s">
        <v>44</v>
      </c>
      <c r="X128" s="1" t="s">
        <v>34</v>
      </c>
      <c r="Y128" s="1" t="s">
        <v>46</v>
      </c>
    </row>
    <row r="129" spans="1:25" x14ac:dyDescent="0.3">
      <c r="A129" s="1" t="s">
        <v>382</v>
      </c>
      <c r="B129" s="1" t="s">
        <v>383</v>
      </c>
      <c r="C129" s="1" t="str">
        <f t="shared" si="4"/>
        <v>September</v>
      </c>
      <c r="D129" s="1" t="s">
        <v>68</v>
      </c>
      <c r="E129" s="1" t="s">
        <v>192</v>
      </c>
      <c r="F129" s="1" t="s">
        <v>51</v>
      </c>
      <c r="G129" s="1">
        <v>25</v>
      </c>
      <c r="H129" s="1" t="s">
        <v>62</v>
      </c>
      <c r="I129" s="1" t="s">
        <v>63</v>
      </c>
      <c r="J129" s="1" t="s">
        <v>53</v>
      </c>
      <c r="K129" s="1" t="s">
        <v>64</v>
      </c>
      <c r="L129" s="1" t="s">
        <v>64</v>
      </c>
      <c r="M129" s="1" t="s">
        <v>30</v>
      </c>
      <c r="N129" s="1" t="s">
        <v>31</v>
      </c>
      <c r="O129" s="1" t="s">
        <v>113</v>
      </c>
      <c r="P129" s="1">
        <v>1</v>
      </c>
      <c r="Q129" s="1">
        <v>1181</v>
      </c>
      <c r="R129" s="1">
        <v>1740</v>
      </c>
      <c r="S129" s="1">
        <v>20</v>
      </c>
      <c r="T129" s="1">
        <f t="shared" si="5"/>
        <v>1392</v>
      </c>
      <c r="U129" s="1">
        <f t="shared" si="6"/>
        <v>1181</v>
      </c>
      <c r="V129" s="1">
        <f t="shared" si="7"/>
        <v>211</v>
      </c>
      <c r="W129" s="1" t="s">
        <v>44</v>
      </c>
      <c r="X129" s="1" t="s">
        <v>34</v>
      </c>
      <c r="Y129" s="1" t="s">
        <v>124</v>
      </c>
    </row>
    <row r="130" spans="1:25" x14ac:dyDescent="0.3">
      <c r="A130" s="1" t="s">
        <v>384</v>
      </c>
      <c r="B130" s="1" t="s">
        <v>385</v>
      </c>
      <c r="C130" s="1" t="str">
        <f t="shared" si="4"/>
        <v>June</v>
      </c>
      <c r="D130" s="1" t="s">
        <v>68</v>
      </c>
      <c r="E130" s="1" t="s">
        <v>172</v>
      </c>
      <c r="F130" s="1" t="s">
        <v>25</v>
      </c>
      <c r="G130" s="1">
        <v>50</v>
      </c>
      <c r="H130" s="1" t="s">
        <v>62</v>
      </c>
      <c r="I130" s="1" t="s">
        <v>63</v>
      </c>
      <c r="J130" s="1" t="s">
        <v>53</v>
      </c>
      <c r="K130" s="1" t="s">
        <v>54</v>
      </c>
      <c r="L130" s="1" t="s">
        <v>54</v>
      </c>
      <c r="M130" s="1" t="s">
        <v>55</v>
      </c>
      <c r="N130" s="1" t="s">
        <v>42</v>
      </c>
      <c r="O130" s="1" t="s">
        <v>113</v>
      </c>
      <c r="P130" s="1">
        <v>3</v>
      </c>
      <c r="Q130" s="1">
        <v>577</v>
      </c>
      <c r="R130" s="1">
        <v>880</v>
      </c>
      <c r="S130" s="1">
        <v>20</v>
      </c>
      <c r="T130" s="1">
        <f t="shared" si="5"/>
        <v>2112</v>
      </c>
      <c r="U130" s="1">
        <f t="shared" si="6"/>
        <v>1731</v>
      </c>
      <c r="V130" s="1">
        <f t="shared" si="7"/>
        <v>381</v>
      </c>
      <c r="W130" s="1" t="s">
        <v>66</v>
      </c>
      <c r="X130" s="1" t="s">
        <v>45</v>
      </c>
      <c r="Y130" s="1" t="s">
        <v>35</v>
      </c>
    </row>
    <row r="131" spans="1:25" x14ac:dyDescent="0.3">
      <c r="A131" s="1" t="s">
        <v>386</v>
      </c>
      <c r="B131" s="1" t="s">
        <v>256</v>
      </c>
      <c r="C131" s="1" t="str">
        <f t="shared" ref="C131:C194" si="8">TEXT(B131, "MMMM")</f>
        <v>July</v>
      </c>
      <c r="D131" s="1" t="s">
        <v>98</v>
      </c>
      <c r="E131" s="1" t="s">
        <v>239</v>
      </c>
      <c r="F131" s="1" t="s">
        <v>25</v>
      </c>
      <c r="G131" s="1">
        <v>55</v>
      </c>
      <c r="H131" s="1" t="s">
        <v>52</v>
      </c>
      <c r="I131" s="1" t="s">
        <v>52</v>
      </c>
      <c r="J131" s="1" t="s">
        <v>28</v>
      </c>
      <c r="K131" s="1" t="s">
        <v>100</v>
      </c>
      <c r="L131" s="1" t="s">
        <v>100</v>
      </c>
      <c r="M131" s="1" t="s">
        <v>65</v>
      </c>
      <c r="N131" s="1" t="s">
        <v>42</v>
      </c>
      <c r="O131" s="1" t="s">
        <v>32</v>
      </c>
      <c r="P131" s="1">
        <v>4</v>
      </c>
      <c r="Q131" s="1">
        <v>720</v>
      </c>
      <c r="R131" s="1">
        <v>1332</v>
      </c>
      <c r="S131" s="1">
        <v>15</v>
      </c>
      <c r="T131" s="1">
        <f t="shared" ref="T131:T194" si="9">P131*R131*(1-S131/100)</f>
        <v>4528.8</v>
      </c>
      <c r="U131" s="1">
        <f t="shared" ref="U131:U194" si="10">P131*Q131</f>
        <v>2880</v>
      </c>
      <c r="V131" s="1">
        <f t="shared" ref="V131:V194" si="11">T131-U131</f>
        <v>1648.8000000000002</v>
      </c>
      <c r="W131" s="1" t="s">
        <v>66</v>
      </c>
      <c r="X131" s="1" t="s">
        <v>45</v>
      </c>
      <c r="Y131" s="1" t="s">
        <v>46</v>
      </c>
    </row>
    <row r="132" spans="1:25" x14ac:dyDescent="0.3">
      <c r="A132" s="1" t="s">
        <v>387</v>
      </c>
      <c r="B132" s="1" t="s">
        <v>304</v>
      </c>
      <c r="C132" s="1" t="str">
        <f t="shared" si="8"/>
        <v>March</v>
      </c>
      <c r="D132" s="1" t="s">
        <v>127</v>
      </c>
      <c r="E132" s="1" t="s">
        <v>195</v>
      </c>
      <c r="F132" s="1" t="s">
        <v>51</v>
      </c>
      <c r="G132" s="1">
        <v>28</v>
      </c>
      <c r="H132" s="1" t="s">
        <v>40</v>
      </c>
      <c r="I132" s="1" t="s">
        <v>41</v>
      </c>
      <c r="J132" s="1" t="s">
        <v>28</v>
      </c>
      <c r="K132" s="1" t="s">
        <v>100</v>
      </c>
      <c r="L132" s="1" t="s">
        <v>100</v>
      </c>
      <c r="M132" s="1" t="s">
        <v>82</v>
      </c>
      <c r="N132" s="1" t="s">
        <v>56</v>
      </c>
      <c r="O132" s="1" t="s">
        <v>71</v>
      </c>
      <c r="P132" s="1">
        <v>2</v>
      </c>
      <c r="Q132" s="1">
        <v>562</v>
      </c>
      <c r="R132" s="1">
        <v>1314</v>
      </c>
      <c r="S132" s="1">
        <v>10</v>
      </c>
      <c r="T132" s="1">
        <f t="shared" si="9"/>
        <v>2365.2000000000003</v>
      </c>
      <c r="U132" s="1">
        <f t="shared" si="10"/>
        <v>1124</v>
      </c>
      <c r="V132" s="1">
        <f t="shared" si="11"/>
        <v>1241.2000000000003</v>
      </c>
      <c r="W132" s="1" t="s">
        <v>33</v>
      </c>
      <c r="X132" s="1" t="s">
        <v>34</v>
      </c>
      <c r="Y132" s="1" t="s">
        <v>35</v>
      </c>
    </row>
    <row r="133" spans="1:25" x14ac:dyDescent="0.3">
      <c r="A133" s="1" t="s">
        <v>388</v>
      </c>
      <c r="B133" s="1" t="s">
        <v>389</v>
      </c>
      <c r="C133" s="1" t="str">
        <f t="shared" si="8"/>
        <v>May</v>
      </c>
      <c r="D133" s="1" t="s">
        <v>85</v>
      </c>
      <c r="E133" s="1" t="s">
        <v>269</v>
      </c>
      <c r="F133" s="1" t="s">
        <v>51</v>
      </c>
      <c r="G133" s="1">
        <v>27</v>
      </c>
      <c r="H133" s="1" t="s">
        <v>91</v>
      </c>
      <c r="I133" s="1" t="s">
        <v>92</v>
      </c>
      <c r="J133" s="1" t="s">
        <v>53</v>
      </c>
      <c r="K133" s="1" t="s">
        <v>54</v>
      </c>
      <c r="L133" s="1" t="s">
        <v>54</v>
      </c>
      <c r="M133" s="1" t="s">
        <v>65</v>
      </c>
      <c r="N133" s="1" t="s">
        <v>42</v>
      </c>
      <c r="O133" s="1" t="s">
        <v>57</v>
      </c>
      <c r="P133" s="1">
        <v>5</v>
      </c>
      <c r="Q133" s="1">
        <v>1084</v>
      </c>
      <c r="R133" s="1">
        <v>1596</v>
      </c>
      <c r="S133" s="1">
        <v>15</v>
      </c>
      <c r="T133" s="1">
        <f t="shared" si="9"/>
        <v>6783</v>
      </c>
      <c r="U133" s="1">
        <f t="shared" si="10"/>
        <v>5420</v>
      </c>
      <c r="V133" s="1">
        <f t="shared" si="11"/>
        <v>1363</v>
      </c>
      <c r="W133" s="1" t="s">
        <v>44</v>
      </c>
      <c r="X133" s="1" t="s">
        <v>34</v>
      </c>
      <c r="Y133" s="1" t="s">
        <v>35</v>
      </c>
    </row>
    <row r="134" spans="1:25" x14ac:dyDescent="0.3">
      <c r="A134" s="1" t="s">
        <v>390</v>
      </c>
      <c r="B134" s="1" t="s">
        <v>59</v>
      </c>
      <c r="C134" s="1" t="str">
        <f t="shared" si="8"/>
        <v>May</v>
      </c>
      <c r="D134" s="1" t="s">
        <v>49</v>
      </c>
      <c r="E134" s="1" t="s">
        <v>146</v>
      </c>
      <c r="F134" s="1" t="s">
        <v>25</v>
      </c>
      <c r="G134" s="1">
        <v>50</v>
      </c>
      <c r="H134" s="1" t="s">
        <v>91</v>
      </c>
      <c r="I134" s="1" t="s">
        <v>92</v>
      </c>
      <c r="J134" s="1" t="s">
        <v>80</v>
      </c>
      <c r="K134" s="1" t="s">
        <v>81</v>
      </c>
      <c r="L134" s="1" t="s">
        <v>81</v>
      </c>
      <c r="M134" s="1" t="s">
        <v>55</v>
      </c>
      <c r="N134" s="1" t="s">
        <v>42</v>
      </c>
      <c r="O134" s="1" t="s">
        <v>113</v>
      </c>
      <c r="P134" s="1">
        <v>4</v>
      </c>
      <c r="Q134" s="1">
        <v>300</v>
      </c>
      <c r="R134" s="1">
        <v>750</v>
      </c>
      <c r="S134" s="1">
        <v>10</v>
      </c>
      <c r="T134" s="1">
        <f t="shared" si="9"/>
        <v>2700</v>
      </c>
      <c r="U134" s="1">
        <f t="shared" si="10"/>
        <v>1200</v>
      </c>
      <c r="V134" s="1">
        <f t="shared" si="11"/>
        <v>1500</v>
      </c>
      <c r="W134" s="1" t="s">
        <v>33</v>
      </c>
      <c r="X134" s="1" t="s">
        <v>45</v>
      </c>
      <c r="Y134" s="1" t="s">
        <v>46</v>
      </c>
    </row>
    <row r="135" spans="1:25" x14ac:dyDescent="0.3">
      <c r="A135" s="1" t="s">
        <v>391</v>
      </c>
      <c r="B135" s="1" t="s">
        <v>392</v>
      </c>
      <c r="C135" s="1" t="str">
        <f t="shared" si="8"/>
        <v>December</v>
      </c>
      <c r="D135" s="1" t="s">
        <v>127</v>
      </c>
      <c r="E135" s="1" t="s">
        <v>250</v>
      </c>
      <c r="F135" s="1" t="s">
        <v>25</v>
      </c>
      <c r="G135" s="1">
        <v>40</v>
      </c>
      <c r="H135" s="1" t="s">
        <v>91</v>
      </c>
      <c r="I135" s="1" t="s">
        <v>92</v>
      </c>
      <c r="J135" s="1" t="s">
        <v>80</v>
      </c>
      <c r="K135" s="1" t="s">
        <v>117</v>
      </c>
      <c r="L135" s="1" t="s">
        <v>117</v>
      </c>
      <c r="M135" s="1" t="s">
        <v>65</v>
      </c>
      <c r="N135" s="1" t="s">
        <v>70</v>
      </c>
      <c r="O135" s="1" t="s">
        <v>57</v>
      </c>
      <c r="P135" s="1">
        <v>5</v>
      </c>
      <c r="Q135" s="1">
        <v>674</v>
      </c>
      <c r="R135" s="1">
        <v>1118</v>
      </c>
      <c r="S135" s="1">
        <v>15</v>
      </c>
      <c r="T135" s="1">
        <f t="shared" si="9"/>
        <v>4751.5</v>
      </c>
      <c r="U135" s="1">
        <f t="shared" si="10"/>
        <v>3370</v>
      </c>
      <c r="V135" s="1">
        <f t="shared" si="11"/>
        <v>1381.5</v>
      </c>
      <c r="W135" s="1" t="s">
        <v>44</v>
      </c>
      <c r="X135" s="1" t="s">
        <v>34</v>
      </c>
      <c r="Y135" s="1" t="s">
        <v>46</v>
      </c>
    </row>
    <row r="136" spans="1:25" x14ac:dyDescent="0.3">
      <c r="A136" s="1" t="s">
        <v>393</v>
      </c>
      <c r="B136" s="1" t="s">
        <v>394</v>
      </c>
      <c r="C136" s="1" t="str">
        <f t="shared" si="8"/>
        <v>June</v>
      </c>
      <c r="D136" s="1" t="s">
        <v>78</v>
      </c>
      <c r="E136" s="1" t="s">
        <v>232</v>
      </c>
      <c r="F136" s="1" t="s">
        <v>25</v>
      </c>
      <c r="G136" s="1">
        <v>21</v>
      </c>
      <c r="H136" s="1" t="s">
        <v>40</v>
      </c>
      <c r="I136" s="1" t="s">
        <v>41</v>
      </c>
      <c r="J136" s="1" t="s">
        <v>53</v>
      </c>
      <c r="K136" s="1" t="s">
        <v>64</v>
      </c>
      <c r="L136" s="1" t="s">
        <v>64</v>
      </c>
      <c r="M136" s="1" t="s">
        <v>86</v>
      </c>
      <c r="N136" s="1" t="s">
        <v>70</v>
      </c>
      <c r="O136" s="1" t="s">
        <v>43</v>
      </c>
      <c r="P136" s="1">
        <v>3</v>
      </c>
      <c r="Q136" s="1">
        <v>508</v>
      </c>
      <c r="R136" s="1">
        <v>726</v>
      </c>
      <c r="S136" s="1">
        <v>10</v>
      </c>
      <c r="T136" s="1">
        <f t="shared" si="9"/>
        <v>1960.2</v>
      </c>
      <c r="U136" s="1">
        <f t="shared" si="10"/>
        <v>1524</v>
      </c>
      <c r="V136" s="1">
        <f t="shared" si="11"/>
        <v>436.20000000000005</v>
      </c>
      <c r="W136" s="1" t="s">
        <v>33</v>
      </c>
      <c r="X136" s="1" t="s">
        <v>34</v>
      </c>
      <c r="Y136" s="1" t="s">
        <v>124</v>
      </c>
    </row>
    <row r="137" spans="1:25" x14ac:dyDescent="0.3">
      <c r="A137" s="1" t="s">
        <v>395</v>
      </c>
      <c r="B137" s="1" t="s">
        <v>381</v>
      </c>
      <c r="C137" s="1" t="str">
        <f t="shared" si="8"/>
        <v>March</v>
      </c>
      <c r="D137" s="1" t="s">
        <v>98</v>
      </c>
      <c r="E137" s="1" t="s">
        <v>266</v>
      </c>
      <c r="F137" s="1" t="s">
        <v>51</v>
      </c>
      <c r="G137" s="1">
        <v>45</v>
      </c>
      <c r="H137" s="1" t="s">
        <v>91</v>
      </c>
      <c r="I137" s="1" t="s">
        <v>92</v>
      </c>
      <c r="J137" s="1" t="s">
        <v>53</v>
      </c>
      <c r="K137" s="1" t="s">
        <v>64</v>
      </c>
      <c r="L137" s="1" t="s">
        <v>64</v>
      </c>
      <c r="M137" s="1" t="s">
        <v>30</v>
      </c>
      <c r="N137" s="1" t="s">
        <v>70</v>
      </c>
      <c r="O137" s="1" t="s">
        <v>113</v>
      </c>
      <c r="P137" s="1">
        <v>5</v>
      </c>
      <c r="Q137" s="1">
        <v>1438</v>
      </c>
      <c r="R137" s="1">
        <v>2045</v>
      </c>
      <c r="S137" s="1">
        <v>15</v>
      </c>
      <c r="T137" s="1">
        <f t="shared" si="9"/>
        <v>8691.25</v>
      </c>
      <c r="U137" s="1">
        <f t="shared" si="10"/>
        <v>7190</v>
      </c>
      <c r="V137" s="1">
        <f t="shared" si="11"/>
        <v>1501.25</v>
      </c>
      <c r="W137" s="1" t="s">
        <v>44</v>
      </c>
      <c r="X137" s="1" t="s">
        <v>34</v>
      </c>
      <c r="Y137" s="1" t="s">
        <v>124</v>
      </c>
    </row>
    <row r="138" spans="1:25" x14ac:dyDescent="0.3">
      <c r="A138" s="1" t="s">
        <v>396</v>
      </c>
      <c r="B138" s="1" t="s">
        <v>397</v>
      </c>
      <c r="C138" s="1" t="str">
        <f t="shared" si="8"/>
        <v>November</v>
      </c>
      <c r="D138" s="1" t="s">
        <v>98</v>
      </c>
      <c r="E138" s="1" t="s">
        <v>398</v>
      </c>
      <c r="F138" s="1" t="s">
        <v>51</v>
      </c>
      <c r="G138" s="1">
        <v>48</v>
      </c>
      <c r="H138" s="1" t="s">
        <v>26</v>
      </c>
      <c r="I138" s="1" t="s">
        <v>27</v>
      </c>
      <c r="J138" s="1" t="s">
        <v>80</v>
      </c>
      <c r="K138" s="1" t="s">
        <v>117</v>
      </c>
      <c r="L138" s="1" t="s">
        <v>117</v>
      </c>
      <c r="M138" s="1" t="s">
        <v>65</v>
      </c>
      <c r="N138" s="1" t="s">
        <v>56</v>
      </c>
      <c r="O138" s="1" t="s">
        <v>32</v>
      </c>
      <c r="P138" s="1">
        <v>1</v>
      </c>
      <c r="Q138" s="1">
        <v>763</v>
      </c>
      <c r="R138" s="1">
        <v>1267</v>
      </c>
      <c r="S138" s="1">
        <v>20</v>
      </c>
      <c r="T138" s="1">
        <f t="shared" si="9"/>
        <v>1013.6</v>
      </c>
      <c r="U138" s="1">
        <f t="shared" si="10"/>
        <v>763</v>
      </c>
      <c r="V138" s="1">
        <f t="shared" si="11"/>
        <v>250.60000000000002</v>
      </c>
      <c r="W138" s="1" t="s">
        <v>44</v>
      </c>
      <c r="X138" s="1" t="s">
        <v>34</v>
      </c>
      <c r="Y138" s="1" t="s">
        <v>124</v>
      </c>
    </row>
    <row r="139" spans="1:25" x14ac:dyDescent="0.3">
      <c r="A139" s="1" t="s">
        <v>399</v>
      </c>
      <c r="B139" s="1" t="s">
        <v>400</v>
      </c>
      <c r="C139" s="1" t="str">
        <f t="shared" si="8"/>
        <v>June</v>
      </c>
      <c r="D139" s="1" t="s">
        <v>38</v>
      </c>
      <c r="E139" s="1" t="s">
        <v>99</v>
      </c>
      <c r="F139" s="1" t="s">
        <v>25</v>
      </c>
      <c r="G139" s="1">
        <v>20</v>
      </c>
      <c r="H139" s="1" t="s">
        <v>26</v>
      </c>
      <c r="I139" s="1" t="s">
        <v>27</v>
      </c>
      <c r="J139" s="1" t="s">
        <v>53</v>
      </c>
      <c r="K139" s="1" t="s">
        <v>64</v>
      </c>
      <c r="L139" s="1" t="s">
        <v>64</v>
      </c>
      <c r="M139" s="1" t="s">
        <v>65</v>
      </c>
      <c r="N139" s="1" t="s">
        <v>56</v>
      </c>
      <c r="O139" s="1" t="s">
        <v>43</v>
      </c>
      <c r="P139" s="1">
        <v>5</v>
      </c>
      <c r="Q139" s="1">
        <v>582</v>
      </c>
      <c r="R139" s="1">
        <v>1121</v>
      </c>
      <c r="S139" s="1">
        <v>5</v>
      </c>
      <c r="T139" s="1">
        <f t="shared" si="9"/>
        <v>5324.75</v>
      </c>
      <c r="U139" s="1">
        <f t="shared" si="10"/>
        <v>2910</v>
      </c>
      <c r="V139" s="1">
        <f t="shared" si="11"/>
        <v>2414.75</v>
      </c>
      <c r="W139" s="1" t="s">
        <v>44</v>
      </c>
      <c r="X139" s="1" t="s">
        <v>34</v>
      </c>
      <c r="Y139" s="1" t="s">
        <v>124</v>
      </c>
    </row>
    <row r="140" spans="1:25" x14ac:dyDescent="0.3">
      <c r="A140" s="1" t="s">
        <v>401</v>
      </c>
      <c r="B140" s="1" t="s">
        <v>211</v>
      </c>
      <c r="C140" s="1" t="str">
        <f t="shared" si="8"/>
        <v>March</v>
      </c>
      <c r="D140" s="1" t="s">
        <v>89</v>
      </c>
      <c r="E140" s="1" t="s">
        <v>209</v>
      </c>
      <c r="F140" s="1" t="s">
        <v>25</v>
      </c>
      <c r="G140" s="1">
        <v>41</v>
      </c>
      <c r="H140" s="1" t="s">
        <v>91</v>
      </c>
      <c r="I140" s="1" t="s">
        <v>92</v>
      </c>
      <c r="J140" s="1" t="s">
        <v>28</v>
      </c>
      <c r="K140" s="1" t="s">
        <v>100</v>
      </c>
      <c r="L140" s="1" t="s">
        <v>100</v>
      </c>
      <c r="M140" s="1" t="s">
        <v>65</v>
      </c>
      <c r="N140" s="1" t="s">
        <v>42</v>
      </c>
      <c r="O140" s="1" t="s">
        <v>32</v>
      </c>
      <c r="P140" s="1">
        <v>3</v>
      </c>
      <c r="Q140" s="1">
        <v>1431</v>
      </c>
      <c r="R140" s="1">
        <v>1784</v>
      </c>
      <c r="S140" s="1">
        <v>10</v>
      </c>
      <c r="T140" s="1">
        <f t="shared" si="9"/>
        <v>4816.8</v>
      </c>
      <c r="U140" s="1">
        <f t="shared" si="10"/>
        <v>4293</v>
      </c>
      <c r="V140" s="1">
        <f t="shared" si="11"/>
        <v>523.80000000000018</v>
      </c>
      <c r="W140" s="1" t="s">
        <v>33</v>
      </c>
      <c r="X140" s="1" t="s">
        <v>45</v>
      </c>
      <c r="Y140" s="1" t="s">
        <v>46</v>
      </c>
    </row>
    <row r="141" spans="1:25" x14ac:dyDescent="0.3">
      <c r="A141" s="1" t="s">
        <v>402</v>
      </c>
      <c r="B141" s="1" t="s">
        <v>169</v>
      </c>
      <c r="C141" s="1" t="str">
        <f t="shared" si="8"/>
        <v>July</v>
      </c>
      <c r="D141" s="1" t="s">
        <v>38</v>
      </c>
      <c r="E141" s="1" t="s">
        <v>403</v>
      </c>
      <c r="F141" s="1" t="s">
        <v>25</v>
      </c>
      <c r="G141" s="1">
        <v>27</v>
      </c>
      <c r="H141" s="1" t="s">
        <v>40</v>
      </c>
      <c r="I141" s="1" t="s">
        <v>41</v>
      </c>
      <c r="J141" s="1" t="s">
        <v>80</v>
      </c>
      <c r="K141" s="1" t="s">
        <v>117</v>
      </c>
      <c r="L141" s="1" t="s">
        <v>117</v>
      </c>
      <c r="M141" s="1" t="s">
        <v>82</v>
      </c>
      <c r="N141" s="1" t="s">
        <v>42</v>
      </c>
      <c r="O141" s="1" t="s">
        <v>32</v>
      </c>
      <c r="P141" s="1">
        <v>1</v>
      </c>
      <c r="Q141" s="1">
        <v>1179</v>
      </c>
      <c r="R141" s="1">
        <v>1771</v>
      </c>
      <c r="S141" s="1">
        <v>20</v>
      </c>
      <c r="T141" s="1">
        <f t="shared" si="9"/>
        <v>1416.8000000000002</v>
      </c>
      <c r="U141" s="1">
        <f t="shared" si="10"/>
        <v>1179</v>
      </c>
      <c r="V141" s="1">
        <f t="shared" si="11"/>
        <v>237.80000000000018</v>
      </c>
      <c r="W141" s="1" t="s">
        <v>44</v>
      </c>
      <c r="X141" s="1" t="s">
        <v>34</v>
      </c>
      <c r="Y141" s="1" t="s">
        <v>35</v>
      </c>
    </row>
    <row r="142" spans="1:25" x14ac:dyDescent="0.3">
      <c r="A142" s="1" t="s">
        <v>404</v>
      </c>
      <c r="B142" s="1" t="s">
        <v>405</v>
      </c>
      <c r="C142" s="1" t="str">
        <f t="shared" si="8"/>
        <v>August</v>
      </c>
      <c r="D142" s="1" t="s">
        <v>74</v>
      </c>
      <c r="E142" s="1" t="s">
        <v>269</v>
      </c>
      <c r="F142" s="1" t="s">
        <v>51</v>
      </c>
      <c r="G142" s="1">
        <v>48</v>
      </c>
      <c r="H142" s="1" t="s">
        <v>91</v>
      </c>
      <c r="I142" s="1" t="s">
        <v>92</v>
      </c>
      <c r="J142" s="1" t="s">
        <v>80</v>
      </c>
      <c r="K142" s="1" t="s">
        <v>81</v>
      </c>
      <c r="L142" s="1" t="s">
        <v>81</v>
      </c>
      <c r="M142" s="1" t="s">
        <v>30</v>
      </c>
      <c r="N142" s="1" t="s">
        <v>42</v>
      </c>
      <c r="O142" s="1" t="s">
        <v>32</v>
      </c>
      <c r="P142" s="1">
        <v>2</v>
      </c>
      <c r="Q142" s="1">
        <v>968</v>
      </c>
      <c r="R142" s="1">
        <v>1568</v>
      </c>
      <c r="S142" s="1">
        <v>0</v>
      </c>
      <c r="T142" s="1">
        <f t="shared" si="9"/>
        <v>3136</v>
      </c>
      <c r="U142" s="1">
        <f t="shared" si="10"/>
        <v>1936</v>
      </c>
      <c r="V142" s="1">
        <f t="shared" si="11"/>
        <v>1200</v>
      </c>
      <c r="W142" s="1" t="s">
        <v>66</v>
      </c>
      <c r="X142" s="1" t="s">
        <v>45</v>
      </c>
      <c r="Y142" s="1" t="s">
        <v>124</v>
      </c>
    </row>
    <row r="143" spans="1:25" x14ac:dyDescent="0.3">
      <c r="A143" s="1" t="s">
        <v>406</v>
      </c>
      <c r="B143" s="1" t="s">
        <v>407</v>
      </c>
      <c r="C143" s="1" t="str">
        <f t="shared" si="8"/>
        <v>February</v>
      </c>
      <c r="D143" s="1" t="s">
        <v>49</v>
      </c>
      <c r="E143" s="1" t="s">
        <v>403</v>
      </c>
      <c r="F143" s="1" t="s">
        <v>51</v>
      </c>
      <c r="G143" s="1">
        <v>18</v>
      </c>
      <c r="H143" s="1" t="s">
        <v>62</v>
      </c>
      <c r="I143" s="1" t="s">
        <v>63</v>
      </c>
      <c r="J143" s="1" t="s">
        <v>53</v>
      </c>
      <c r="K143" s="1" t="s">
        <v>54</v>
      </c>
      <c r="L143" s="1" t="s">
        <v>54</v>
      </c>
      <c r="M143" s="1" t="s">
        <v>65</v>
      </c>
      <c r="N143" s="1" t="s">
        <v>56</v>
      </c>
      <c r="O143" s="1" t="s">
        <v>32</v>
      </c>
      <c r="P143" s="1">
        <v>3</v>
      </c>
      <c r="Q143" s="1">
        <v>329</v>
      </c>
      <c r="R143" s="1">
        <v>977</v>
      </c>
      <c r="S143" s="1">
        <v>10</v>
      </c>
      <c r="T143" s="1">
        <f t="shared" si="9"/>
        <v>2637.9</v>
      </c>
      <c r="U143" s="1">
        <f t="shared" si="10"/>
        <v>987</v>
      </c>
      <c r="V143" s="1">
        <f t="shared" si="11"/>
        <v>1650.9</v>
      </c>
      <c r="W143" s="1" t="s">
        <v>44</v>
      </c>
      <c r="X143" s="1" t="s">
        <v>34</v>
      </c>
      <c r="Y143" s="1" t="s">
        <v>35</v>
      </c>
    </row>
    <row r="144" spans="1:25" x14ac:dyDescent="0.3">
      <c r="A144" s="1" t="s">
        <v>408</v>
      </c>
      <c r="B144" s="1" t="s">
        <v>409</v>
      </c>
      <c r="C144" s="1" t="str">
        <f t="shared" si="8"/>
        <v>November</v>
      </c>
      <c r="D144" s="1" t="s">
        <v>49</v>
      </c>
      <c r="E144" s="1" t="s">
        <v>276</v>
      </c>
      <c r="F144" s="1" t="s">
        <v>51</v>
      </c>
      <c r="G144" s="1">
        <v>53</v>
      </c>
      <c r="H144" s="1" t="s">
        <v>26</v>
      </c>
      <c r="I144" s="1" t="s">
        <v>27</v>
      </c>
      <c r="J144" s="1" t="s">
        <v>28</v>
      </c>
      <c r="K144" s="1" t="s">
        <v>100</v>
      </c>
      <c r="L144" s="1" t="s">
        <v>100</v>
      </c>
      <c r="M144" s="1" t="s">
        <v>65</v>
      </c>
      <c r="N144" s="1" t="s">
        <v>31</v>
      </c>
      <c r="O144" s="1" t="s">
        <v>113</v>
      </c>
      <c r="P144" s="1">
        <v>3</v>
      </c>
      <c r="Q144" s="1">
        <v>723</v>
      </c>
      <c r="R144" s="1">
        <v>961</v>
      </c>
      <c r="S144" s="1">
        <v>5</v>
      </c>
      <c r="T144" s="1">
        <f t="shared" si="9"/>
        <v>2738.85</v>
      </c>
      <c r="U144" s="1">
        <f t="shared" si="10"/>
        <v>2169</v>
      </c>
      <c r="V144" s="1">
        <f t="shared" si="11"/>
        <v>569.84999999999991</v>
      </c>
      <c r="W144" s="1" t="s">
        <v>44</v>
      </c>
      <c r="X144" s="1" t="s">
        <v>45</v>
      </c>
      <c r="Y144" s="1" t="s">
        <v>35</v>
      </c>
    </row>
    <row r="145" spans="1:25" x14ac:dyDescent="0.3">
      <c r="A145" s="1" t="s">
        <v>410</v>
      </c>
      <c r="B145" s="1" t="s">
        <v>306</v>
      </c>
      <c r="C145" s="1" t="str">
        <f t="shared" si="8"/>
        <v>November</v>
      </c>
      <c r="D145" s="1" t="s">
        <v>49</v>
      </c>
      <c r="E145" s="1" t="s">
        <v>403</v>
      </c>
      <c r="F145" s="1" t="s">
        <v>51</v>
      </c>
      <c r="G145" s="1">
        <v>21</v>
      </c>
      <c r="H145" s="1" t="s">
        <v>40</v>
      </c>
      <c r="I145" s="1" t="s">
        <v>41</v>
      </c>
      <c r="J145" s="1" t="s">
        <v>53</v>
      </c>
      <c r="K145" s="1" t="s">
        <v>64</v>
      </c>
      <c r="L145" s="1" t="s">
        <v>64</v>
      </c>
      <c r="M145" s="1" t="s">
        <v>55</v>
      </c>
      <c r="N145" s="1" t="s">
        <v>70</v>
      </c>
      <c r="O145" s="1" t="s">
        <v>71</v>
      </c>
      <c r="P145" s="1">
        <v>1</v>
      </c>
      <c r="Q145" s="1">
        <v>569</v>
      </c>
      <c r="R145" s="1">
        <v>972</v>
      </c>
      <c r="S145" s="1">
        <v>20</v>
      </c>
      <c r="T145" s="1">
        <f t="shared" si="9"/>
        <v>777.6</v>
      </c>
      <c r="U145" s="1">
        <f t="shared" si="10"/>
        <v>569</v>
      </c>
      <c r="V145" s="1">
        <f t="shared" si="11"/>
        <v>208.60000000000002</v>
      </c>
      <c r="W145" s="1" t="s">
        <v>66</v>
      </c>
      <c r="X145" s="1" t="s">
        <v>34</v>
      </c>
      <c r="Y145" s="1" t="s">
        <v>35</v>
      </c>
    </row>
    <row r="146" spans="1:25" x14ac:dyDescent="0.3">
      <c r="A146" s="1" t="s">
        <v>411</v>
      </c>
      <c r="B146" s="1" t="s">
        <v>73</v>
      </c>
      <c r="C146" s="1" t="str">
        <f t="shared" si="8"/>
        <v>January</v>
      </c>
      <c r="D146" s="1" t="s">
        <v>68</v>
      </c>
      <c r="E146" s="1" t="s">
        <v>120</v>
      </c>
      <c r="F146" s="1" t="s">
        <v>25</v>
      </c>
      <c r="G146" s="1">
        <v>40</v>
      </c>
      <c r="H146" s="1" t="s">
        <v>52</v>
      </c>
      <c r="I146" s="1" t="s">
        <v>52</v>
      </c>
      <c r="J146" s="1" t="s">
        <v>28</v>
      </c>
      <c r="K146" s="1" t="s">
        <v>29</v>
      </c>
      <c r="L146" s="1" t="s">
        <v>29</v>
      </c>
      <c r="M146" s="1" t="s">
        <v>82</v>
      </c>
      <c r="N146" s="1" t="s">
        <v>56</v>
      </c>
      <c r="O146" s="1" t="s">
        <v>32</v>
      </c>
      <c r="P146" s="1">
        <v>2</v>
      </c>
      <c r="Q146" s="1">
        <v>475</v>
      </c>
      <c r="R146" s="1">
        <v>851</v>
      </c>
      <c r="S146" s="1">
        <v>15</v>
      </c>
      <c r="T146" s="1">
        <f t="shared" si="9"/>
        <v>1446.7</v>
      </c>
      <c r="U146" s="1">
        <f t="shared" si="10"/>
        <v>950</v>
      </c>
      <c r="V146" s="1">
        <f t="shared" si="11"/>
        <v>496.70000000000005</v>
      </c>
      <c r="W146" s="1" t="s">
        <v>66</v>
      </c>
      <c r="X146" s="1" t="s">
        <v>45</v>
      </c>
      <c r="Y146" s="1" t="s">
        <v>35</v>
      </c>
    </row>
    <row r="147" spans="1:25" x14ac:dyDescent="0.3">
      <c r="A147" s="1" t="s">
        <v>412</v>
      </c>
      <c r="B147" s="1" t="s">
        <v>413</v>
      </c>
      <c r="C147" s="1" t="str">
        <f t="shared" si="8"/>
        <v>March</v>
      </c>
      <c r="D147" s="1" t="s">
        <v>127</v>
      </c>
      <c r="E147" s="1" t="s">
        <v>189</v>
      </c>
      <c r="F147" s="1" t="s">
        <v>25</v>
      </c>
      <c r="G147" s="1">
        <v>22</v>
      </c>
      <c r="H147" s="1" t="s">
        <v>91</v>
      </c>
      <c r="I147" s="1" t="s">
        <v>92</v>
      </c>
      <c r="J147" s="1" t="s">
        <v>53</v>
      </c>
      <c r="K147" s="1" t="s">
        <v>64</v>
      </c>
      <c r="L147" s="1" t="s">
        <v>64</v>
      </c>
      <c r="M147" s="1" t="s">
        <v>65</v>
      </c>
      <c r="N147" s="1" t="s">
        <v>42</v>
      </c>
      <c r="O147" s="1" t="s">
        <v>57</v>
      </c>
      <c r="P147" s="1">
        <v>3</v>
      </c>
      <c r="Q147" s="1">
        <v>633</v>
      </c>
      <c r="R147" s="1">
        <v>902</v>
      </c>
      <c r="S147" s="1">
        <v>10</v>
      </c>
      <c r="T147" s="1">
        <f t="shared" si="9"/>
        <v>2435.4</v>
      </c>
      <c r="U147" s="1">
        <f t="shared" si="10"/>
        <v>1899</v>
      </c>
      <c r="V147" s="1">
        <f t="shared" si="11"/>
        <v>536.40000000000009</v>
      </c>
      <c r="W147" s="1" t="s">
        <v>66</v>
      </c>
      <c r="X147" s="1" t="s">
        <v>34</v>
      </c>
      <c r="Y147" s="1" t="s">
        <v>35</v>
      </c>
    </row>
    <row r="148" spans="1:25" x14ac:dyDescent="0.3">
      <c r="A148" s="1" t="s">
        <v>414</v>
      </c>
      <c r="B148" s="1" t="s">
        <v>415</v>
      </c>
      <c r="C148" s="1" t="str">
        <f t="shared" si="8"/>
        <v>November</v>
      </c>
      <c r="D148" s="1" t="s">
        <v>38</v>
      </c>
      <c r="E148" s="1" t="s">
        <v>416</v>
      </c>
      <c r="F148" s="1" t="s">
        <v>51</v>
      </c>
      <c r="G148" s="1">
        <v>19</v>
      </c>
      <c r="H148" s="1" t="s">
        <v>91</v>
      </c>
      <c r="I148" s="1" t="s">
        <v>92</v>
      </c>
      <c r="J148" s="1" t="s">
        <v>28</v>
      </c>
      <c r="K148" s="1" t="s">
        <v>29</v>
      </c>
      <c r="L148" s="1" t="s">
        <v>29</v>
      </c>
      <c r="M148" s="1" t="s">
        <v>55</v>
      </c>
      <c r="N148" s="1" t="s">
        <v>70</v>
      </c>
      <c r="O148" s="1" t="s">
        <v>113</v>
      </c>
      <c r="P148" s="1">
        <v>2</v>
      </c>
      <c r="Q148" s="1">
        <v>680</v>
      </c>
      <c r="R148" s="1">
        <v>1196</v>
      </c>
      <c r="S148" s="1">
        <v>5</v>
      </c>
      <c r="T148" s="1">
        <f t="shared" si="9"/>
        <v>2272.4</v>
      </c>
      <c r="U148" s="1">
        <f t="shared" si="10"/>
        <v>1360</v>
      </c>
      <c r="V148" s="1">
        <f t="shared" si="11"/>
        <v>912.40000000000009</v>
      </c>
      <c r="W148" s="1" t="s">
        <v>44</v>
      </c>
      <c r="X148" s="1" t="s">
        <v>34</v>
      </c>
      <c r="Y148" s="1" t="s">
        <v>124</v>
      </c>
    </row>
    <row r="149" spans="1:25" x14ac:dyDescent="0.3">
      <c r="A149" s="1" t="s">
        <v>417</v>
      </c>
      <c r="B149" s="1" t="s">
        <v>418</v>
      </c>
      <c r="C149" s="1" t="str">
        <f t="shared" si="8"/>
        <v>November</v>
      </c>
      <c r="D149" s="1" t="s">
        <v>78</v>
      </c>
      <c r="E149" s="1" t="s">
        <v>419</v>
      </c>
      <c r="F149" s="1" t="s">
        <v>25</v>
      </c>
      <c r="G149" s="1">
        <v>23</v>
      </c>
      <c r="H149" s="1" t="s">
        <v>62</v>
      </c>
      <c r="I149" s="1" t="s">
        <v>63</v>
      </c>
      <c r="J149" s="1" t="s">
        <v>80</v>
      </c>
      <c r="K149" s="1" t="s">
        <v>117</v>
      </c>
      <c r="L149" s="1" t="s">
        <v>117</v>
      </c>
      <c r="M149" s="1" t="s">
        <v>55</v>
      </c>
      <c r="N149" s="1" t="s">
        <v>31</v>
      </c>
      <c r="O149" s="1" t="s">
        <v>113</v>
      </c>
      <c r="P149" s="1">
        <v>2</v>
      </c>
      <c r="Q149" s="1">
        <v>775</v>
      </c>
      <c r="R149" s="1">
        <v>1364</v>
      </c>
      <c r="S149" s="1">
        <v>20</v>
      </c>
      <c r="T149" s="1">
        <f t="shared" si="9"/>
        <v>2182.4</v>
      </c>
      <c r="U149" s="1">
        <f t="shared" si="10"/>
        <v>1550</v>
      </c>
      <c r="V149" s="1">
        <f t="shared" si="11"/>
        <v>632.40000000000009</v>
      </c>
      <c r="W149" s="1" t="s">
        <v>44</v>
      </c>
      <c r="X149" s="1" t="s">
        <v>34</v>
      </c>
      <c r="Y149" s="1" t="s">
        <v>46</v>
      </c>
    </row>
    <row r="150" spans="1:25" x14ac:dyDescent="0.3">
      <c r="A150" s="1" t="s">
        <v>420</v>
      </c>
      <c r="B150" s="1" t="s">
        <v>421</v>
      </c>
      <c r="C150" s="1" t="str">
        <f t="shared" si="8"/>
        <v>March</v>
      </c>
      <c r="D150" s="1" t="s">
        <v>23</v>
      </c>
      <c r="E150" s="1" t="s">
        <v>204</v>
      </c>
      <c r="F150" s="1" t="s">
        <v>51</v>
      </c>
      <c r="G150" s="1">
        <v>30</v>
      </c>
      <c r="H150" s="1" t="s">
        <v>26</v>
      </c>
      <c r="I150" s="1" t="s">
        <v>27</v>
      </c>
      <c r="J150" s="1" t="s">
        <v>80</v>
      </c>
      <c r="K150" s="1" t="s">
        <v>81</v>
      </c>
      <c r="L150" s="1" t="s">
        <v>81</v>
      </c>
      <c r="M150" s="1" t="s">
        <v>86</v>
      </c>
      <c r="N150" s="1" t="s">
        <v>31</v>
      </c>
      <c r="O150" s="1" t="s">
        <v>32</v>
      </c>
      <c r="P150" s="1">
        <v>2</v>
      </c>
      <c r="Q150" s="1">
        <v>825</v>
      </c>
      <c r="R150" s="1">
        <v>1125</v>
      </c>
      <c r="S150" s="1">
        <v>0</v>
      </c>
      <c r="T150" s="1">
        <f t="shared" si="9"/>
        <v>2250</v>
      </c>
      <c r="U150" s="1">
        <f t="shared" si="10"/>
        <v>1650</v>
      </c>
      <c r="V150" s="1">
        <f t="shared" si="11"/>
        <v>600</v>
      </c>
      <c r="W150" s="1" t="s">
        <v>44</v>
      </c>
      <c r="X150" s="1" t="s">
        <v>34</v>
      </c>
      <c r="Y150" s="1" t="s">
        <v>46</v>
      </c>
    </row>
    <row r="151" spans="1:25" x14ac:dyDescent="0.3">
      <c r="A151" s="1" t="s">
        <v>422</v>
      </c>
      <c r="B151" s="1" t="s">
        <v>423</v>
      </c>
      <c r="C151" s="1" t="str">
        <f t="shared" si="8"/>
        <v>May</v>
      </c>
      <c r="D151" s="1" t="s">
        <v>89</v>
      </c>
      <c r="E151" s="1" t="s">
        <v>424</v>
      </c>
      <c r="F151" s="1" t="s">
        <v>25</v>
      </c>
      <c r="G151" s="1">
        <v>38</v>
      </c>
      <c r="H151" s="1" t="s">
        <v>91</v>
      </c>
      <c r="I151" s="1" t="s">
        <v>92</v>
      </c>
      <c r="J151" s="1" t="s">
        <v>28</v>
      </c>
      <c r="K151" s="1" t="s">
        <v>29</v>
      </c>
      <c r="L151" s="1" t="s">
        <v>29</v>
      </c>
      <c r="M151" s="1" t="s">
        <v>55</v>
      </c>
      <c r="N151" s="1" t="s">
        <v>31</v>
      </c>
      <c r="O151" s="1" t="s">
        <v>71</v>
      </c>
      <c r="P151" s="1">
        <v>5</v>
      </c>
      <c r="Q151" s="1">
        <v>800</v>
      </c>
      <c r="R151" s="1">
        <v>1403</v>
      </c>
      <c r="S151" s="1">
        <v>5</v>
      </c>
      <c r="T151" s="1">
        <f t="shared" si="9"/>
        <v>6664.25</v>
      </c>
      <c r="U151" s="1">
        <f t="shared" si="10"/>
        <v>4000</v>
      </c>
      <c r="V151" s="1">
        <f t="shared" si="11"/>
        <v>2664.25</v>
      </c>
      <c r="W151" s="1" t="s">
        <v>33</v>
      </c>
      <c r="X151" s="1" t="s">
        <v>45</v>
      </c>
      <c r="Y151" s="1" t="s">
        <v>46</v>
      </c>
    </row>
    <row r="152" spans="1:25" x14ac:dyDescent="0.3">
      <c r="A152" s="1" t="s">
        <v>425</v>
      </c>
      <c r="B152" s="1" t="s">
        <v>426</v>
      </c>
      <c r="C152" s="1" t="str">
        <f t="shared" si="8"/>
        <v>July</v>
      </c>
      <c r="D152" s="1" t="s">
        <v>85</v>
      </c>
      <c r="E152" s="1" t="s">
        <v>75</v>
      </c>
      <c r="F152" s="1" t="s">
        <v>51</v>
      </c>
      <c r="G152" s="1">
        <v>43</v>
      </c>
      <c r="H152" s="1" t="s">
        <v>26</v>
      </c>
      <c r="I152" s="1" t="s">
        <v>27</v>
      </c>
      <c r="J152" s="1" t="s">
        <v>80</v>
      </c>
      <c r="K152" s="1" t="s">
        <v>81</v>
      </c>
      <c r="L152" s="1" t="s">
        <v>81</v>
      </c>
      <c r="M152" s="1" t="s">
        <v>86</v>
      </c>
      <c r="N152" s="1" t="s">
        <v>70</v>
      </c>
      <c r="O152" s="1" t="s">
        <v>43</v>
      </c>
      <c r="P152" s="1">
        <v>2</v>
      </c>
      <c r="Q152" s="1">
        <v>801</v>
      </c>
      <c r="R152" s="1">
        <v>1295</v>
      </c>
      <c r="S152" s="1">
        <v>5</v>
      </c>
      <c r="T152" s="1">
        <f t="shared" si="9"/>
        <v>2460.5</v>
      </c>
      <c r="U152" s="1">
        <f t="shared" si="10"/>
        <v>1602</v>
      </c>
      <c r="V152" s="1">
        <f t="shared" si="11"/>
        <v>858.5</v>
      </c>
      <c r="W152" s="1" t="s">
        <v>33</v>
      </c>
      <c r="X152" s="1" t="s">
        <v>45</v>
      </c>
      <c r="Y152" s="1" t="s">
        <v>35</v>
      </c>
    </row>
    <row r="153" spans="1:25" x14ac:dyDescent="0.3">
      <c r="A153" s="1" t="s">
        <v>427</v>
      </c>
      <c r="B153" s="1" t="s">
        <v>428</v>
      </c>
      <c r="C153" s="1" t="str">
        <f t="shared" si="8"/>
        <v>May</v>
      </c>
      <c r="D153" s="1" t="s">
        <v>85</v>
      </c>
      <c r="E153" s="1" t="s">
        <v>315</v>
      </c>
      <c r="F153" s="1" t="s">
        <v>51</v>
      </c>
      <c r="G153" s="1">
        <v>41</v>
      </c>
      <c r="H153" s="1" t="s">
        <v>91</v>
      </c>
      <c r="I153" s="1" t="s">
        <v>92</v>
      </c>
      <c r="J153" s="1" t="s">
        <v>80</v>
      </c>
      <c r="K153" s="1" t="s">
        <v>117</v>
      </c>
      <c r="L153" s="1" t="s">
        <v>117</v>
      </c>
      <c r="M153" s="1" t="s">
        <v>65</v>
      </c>
      <c r="N153" s="1" t="s">
        <v>70</v>
      </c>
      <c r="O153" s="1" t="s">
        <v>113</v>
      </c>
      <c r="P153" s="1">
        <v>3</v>
      </c>
      <c r="Q153" s="1">
        <v>793</v>
      </c>
      <c r="R153" s="1">
        <v>1135</v>
      </c>
      <c r="S153" s="1">
        <v>5</v>
      </c>
      <c r="T153" s="1">
        <f t="shared" si="9"/>
        <v>3234.75</v>
      </c>
      <c r="U153" s="1">
        <f t="shared" si="10"/>
        <v>2379</v>
      </c>
      <c r="V153" s="1">
        <f t="shared" si="11"/>
        <v>855.75</v>
      </c>
      <c r="W153" s="1" t="s">
        <v>33</v>
      </c>
      <c r="X153" s="1" t="s">
        <v>34</v>
      </c>
      <c r="Y153" s="1" t="s">
        <v>46</v>
      </c>
    </row>
    <row r="154" spans="1:25" x14ac:dyDescent="0.3">
      <c r="A154" s="1" t="s">
        <v>429</v>
      </c>
      <c r="B154" s="1" t="s">
        <v>430</v>
      </c>
      <c r="C154" s="1" t="str">
        <f t="shared" si="8"/>
        <v>April</v>
      </c>
      <c r="D154" s="1" t="s">
        <v>74</v>
      </c>
      <c r="E154" s="1" t="s">
        <v>112</v>
      </c>
      <c r="F154" s="1" t="s">
        <v>25</v>
      </c>
      <c r="G154" s="1">
        <v>40</v>
      </c>
      <c r="H154" s="1" t="s">
        <v>52</v>
      </c>
      <c r="I154" s="1" t="s">
        <v>52</v>
      </c>
      <c r="J154" s="1" t="s">
        <v>80</v>
      </c>
      <c r="K154" s="1" t="s">
        <v>81</v>
      </c>
      <c r="L154" s="1" t="s">
        <v>81</v>
      </c>
      <c r="M154" s="1" t="s">
        <v>55</v>
      </c>
      <c r="N154" s="1" t="s">
        <v>56</v>
      </c>
      <c r="O154" s="1" t="s">
        <v>43</v>
      </c>
      <c r="P154" s="1">
        <v>1</v>
      </c>
      <c r="Q154" s="1">
        <v>490</v>
      </c>
      <c r="R154" s="1">
        <v>794</v>
      </c>
      <c r="S154" s="1">
        <v>10</v>
      </c>
      <c r="T154" s="1">
        <f t="shared" si="9"/>
        <v>714.6</v>
      </c>
      <c r="U154" s="1">
        <f t="shared" si="10"/>
        <v>490</v>
      </c>
      <c r="V154" s="1">
        <f t="shared" si="11"/>
        <v>224.60000000000002</v>
      </c>
      <c r="W154" s="1" t="s">
        <v>66</v>
      </c>
      <c r="X154" s="1" t="s">
        <v>34</v>
      </c>
      <c r="Y154" s="1" t="s">
        <v>124</v>
      </c>
    </row>
    <row r="155" spans="1:25" x14ac:dyDescent="0.3">
      <c r="A155" s="1" t="s">
        <v>431</v>
      </c>
      <c r="B155" s="1" t="s">
        <v>432</v>
      </c>
      <c r="C155" s="1" t="str">
        <f t="shared" si="8"/>
        <v>October</v>
      </c>
      <c r="D155" s="1" t="s">
        <v>78</v>
      </c>
      <c r="E155" s="1" t="s">
        <v>120</v>
      </c>
      <c r="F155" s="1" t="s">
        <v>25</v>
      </c>
      <c r="G155" s="1">
        <v>55</v>
      </c>
      <c r="H155" s="1" t="s">
        <v>62</v>
      </c>
      <c r="I155" s="1" t="s">
        <v>63</v>
      </c>
      <c r="J155" s="1" t="s">
        <v>28</v>
      </c>
      <c r="K155" s="1" t="s">
        <v>100</v>
      </c>
      <c r="L155" s="1" t="s">
        <v>100</v>
      </c>
      <c r="M155" s="1" t="s">
        <v>86</v>
      </c>
      <c r="N155" s="1" t="s">
        <v>31</v>
      </c>
      <c r="O155" s="1" t="s">
        <v>113</v>
      </c>
      <c r="P155" s="1">
        <v>4</v>
      </c>
      <c r="Q155" s="1">
        <v>1099</v>
      </c>
      <c r="R155" s="1">
        <v>1321</v>
      </c>
      <c r="S155" s="1">
        <v>15</v>
      </c>
      <c r="T155" s="1">
        <f t="shared" si="9"/>
        <v>4491.3999999999996</v>
      </c>
      <c r="U155" s="1">
        <f t="shared" si="10"/>
        <v>4396</v>
      </c>
      <c r="V155" s="1">
        <f t="shared" si="11"/>
        <v>95.399999999999636</v>
      </c>
      <c r="W155" s="1" t="s">
        <v>44</v>
      </c>
      <c r="X155" s="1" t="s">
        <v>34</v>
      </c>
      <c r="Y155" s="1" t="s">
        <v>124</v>
      </c>
    </row>
    <row r="156" spans="1:25" x14ac:dyDescent="0.3">
      <c r="A156" s="1" t="s">
        <v>433</v>
      </c>
      <c r="B156" s="1" t="s">
        <v>238</v>
      </c>
      <c r="C156" s="1" t="str">
        <f t="shared" si="8"/>
        <v>December</v>
      </c>
      <c r="D156" s="1" t="s">
        <v>98</v>
      </c>
      <c r="E156" s="1" t="s">
        <v>434</v>
      </c>
      <c r="F156" s="1" t="s">
        <v>25</v>
      </c>
      <c r="G156" s="1">
        <v>31</v>
      </c>
      <c r="H156" s="1" t="s">
        <v>26</v>
      </c>
      <c r="I156" s="1" t="s">
        <v>27</v>
      </c>
      <c r="J156" s="1" t="s">
        <v>53</v>
      </c>
      <c r="K156" s="1" t="s">
        <v>54</v>
      </c>
      <c r="L156" s="1" t="s">
        <v>54</v>
      </c>
      <c r="M156" s="1" t="s">
        <v>86</v>
      </c>
      <c r="N156" s="1" t="s">
        <v>56</v>
      </c>
      <c r="O156" s="1" t="s">
        <v>32</v>
      </c>
      <c r="P156" s="1">
        <v>3</v>
      </c>
      <c r="Q156" s="1">
        <v>488</v>
      </c>
      <c r="R156" s="1">
        <v>1159</v>
      </c>
      <c r="S156" s="1">
        <v>10</v>
      </c>
      <c r="T156" s="1">
        <f t="shared" si="9"/>
        <v>3129.3</v>
      </c>
      <c r="U156" s="1">
        <f t="shared" si="10"/>
        <v>1464</v>
      </c>
      <c r="V156" s="1">
        <f t="shared" si="11"/>
        <v>1665.3000000000002</v>
      </c>
      <c r="W156" s="1" t="s">
        <v>44</v>
      </c>
      <c r="X156" s="1" t="s">
        <v>45</v>
      </c>
      <c r="Y156" s="1" t="s">
        <v>35</v>
      </c>
    </row>
    <row r="157" spans="1:25" x14ac:dyDescent="0.3">
      <c r="A157" s="1" t="s">
        <v>435</v>
      </c>
      <c r="B157" s="1" t="s">
        <v>397</v>
      </c>
      <c r="C157" s="1" t="str">
        <f t="shared" si="8"/>
        <v>November</v>
      </c>
      <c r="D157" s="1" t="s">
        <v>85</v>
      </c>
      <c r="E157" s="1" t="s">
        <v>106</v>
      </c>
      <c r="F157" s="1" t="s">
        <v>25</v>
      </c>
      <c r="G157" s="1">
        <v>22</v>
      </c>
      <c r="H157" s="1" t="s">
        <v>26</v>
      </c>
      <c r="I157" s="1" t="s">
        <v>27</v>
      </c>
      <c r="J157" s="1" t="s">
        <v>80</v>
      </c>
      <c r="K157" s="1" t="s">
        <v>117</v>
      </c>
      <c r="L157" s="1" t="s">
        <v>117</v>
      </c>
      <c r="M157" s="1" t="s">
        <v>65</v>
      </c>
      <c r="N157" s="1" t="s">
        <v>56</v>
      </c>
      <c r="O157" s="1" t="s">
        <v>32</v>
      </c>
      <c r="P157" s="1">
        <v>5</v>
      </c>
      <c r="Q157" s="1">
        <v>523</v>
      </c>
      <c r="R157" s="1">
        <v>1239</v>
      </c>
      <c r="S157" s="1">
        <v>15</v>
      </c>
      <c r="T157" s="1">
        <f t="shared" si="9"/>
        <v>5265.75</v>
      </c>
      <c r="U157" s="1">
        <f t="shared" si="10"/>
        <v>2615</v>
      </c>
      <c r="V157" s="1">
        <f t="shared" si="11"/>
        <v>2650.75</v>
      </c>
      <c r="W157" s="1" t="s">
        <v>33</v>
      </c>
      <c r="X157" s="1" t="s">
        <v>34</v>
      </c>
      <c r="Y157" s="1" t="s">
        <v>46</v>
      </c>
    </row>
    <row r="158" spans="1:25" x14ac:dyDescent="0.3">
      <c r="A158" s="1" t="s">
        <v>436</v>
      </c>
      <c r="B158" s="1" t="s">
        <v>311</v>
      </c>
      <c r="C158" s="1" t="str">
        <f t="shared" si="8"/>
        <v>July</v>
      </c>
      <c r="D158" s="1" t="s">
        <v>78</v>
      </c>
      <c r="E158" s="1" t="s">
        <v>300</v>
      </c>
      <c r="F158" s="1" t="s">
        <v>25</v>
      </c>
      <c r="G158" s="1">
        <v>53</v>
      </c>
      <c r="H158" s="1" t="s">
        <v>40</v>
      </c>
      <c r="I158" s="1" t="s">
        <v>41</v>
      </c>
      <c r="J158" s="1" t="s">
        <v>28</v>
      </c>
      <c r="K158" s="1" t="s">
        <v>29</v>
      </c>
      <c r="L158" s="1" t="s">
        <v>29</v>
      </c>
      <c r="M158" s="1" t="s">
        <v>65</v>
      </c>
      <c r="N158" s="1" t="s">
        <v>42</v>
      </c>
      <c r="O158" s="1" t="s">
        <v>113</v>
      </c>
      <c r="P158" s="1">
        <v>2</v>
      </c>
      <c r="Q158" s="1">
        <v>1033</v>
      </c>
      <c r="R158" s="1">
        <v>1213</v>
      </c>
      <c r="S158" s="1">
        <v>20</v>
      </c>
      <c r="T158" s="1">
        <f t="shared" si="9"/>
        <v>1940.8000000000002</v>
      </c>
      <c r="U158" s="1">
        <f t="shared" si="10"/>
        <v>2066</v>
      </c>
      <c r="V158" s="1">
        <f t="shared" si="11"/>
        <v>-125.19999999999982</v>
      </c>
      <c r="W158" s="1" t="s">
        <v>66</v>
      </c>
      <c r="X158" s="1" t="s">
        <v>45</v>
      </c>
      <c r="Y158" s="1" t="s">
        <v>46</v>
      </c>
    </row>
    <row r="159" spans="1:25" x14ac:dyDescent="0.3">
      <c r="A159" s="1" t="s">
        <v>437</v>
      </c>
      <c r="B159" s="1" t="s">
        <v>426</v>
      </c>
      <c r="C159" s="1" t="str">
        <f t="shared" si="8"/>
        <v>July</v>
      </c>
      <c r="D159" s="1" t="s">
        <v>127</v>
      </c>
      <c r="E159" s="1" t="s">
        <v>204</v>
      </c>
      <c r="F159" s="1" t="s">
        <v>51</v>
      </c>
      <c r="G159" s="1">
        <v>48</v>
      </c>
      <c r="H159" s="1" t="s">
        <v>52</v>
      </c>
      <c r="I159" s="1" t="s">
        <v>52</v>
      </c>
      <c r="J159" s="1" t="s">
        <v>53</v>
      </c>
      <c r="K159" s="1" t="s">
        <v>64</v>
      </c>
      <c r="L159" s="1" t="s">
        <v>64</v>
      </c>
      <c r="M159" s="1" t="s">
        <v>55</v>
      </c>
      <c r="N159" s="1" t="s">
        <v>56</v>
      </c>
      <c r="O159" s="1" t="s">
        <v>32</v>
      </c>
      <c r="P159" s="1">
        <v>4</v>
      </c>
      <c r="Q159" s="1">
        <v>1128</v>
      </c>
      <c r="R159" s="1">
        <v>1393</v>
      </c>
      <c r="S159" s="1">
        <v>15</v>
      </c>
      <c r="T159" s="1">
        <f t="shared" si="9"/>
        <v>4736.2</v>
      </c>
      <c r="U159" s="1">
        <f t="shared" si="10"/>
        <v>4512</v>
      </c>
      <c r="V159" s="1">
        <f t="shared" si="11"/>
        <v>224.19999999999982</v>
      </c>
      <c r="W159" s="1" t="s">
        <v>33</v>
      </c>
      <c r="X159" s="1" t="s">
        <v>34</v>
      </c>
      <c r="Y159" s="1" t="s">
        <v>124</v>
      </c>
    </row>
    <row r="160" spans="1:25" x14ac:dyDescent="0.3">
      <c r="A160" s="1" t="s">
        <v>438</v>
      </c>
      <c r="B160" s="1" t="s">
        <v>439</v>
      </c>
      <c r="C160" s="1" t="str">
        <f t="shared" si="8"/>
        <v>January</v>
      </c>
      <c r="D160" s="1" t="s">
        <v>89</v>
      </c>
      <c r="E160" s="1" t="s">
        <v>75</v>
      </c>
      <c r="F160" s="1" t="s">
        <v>51</v>
      </c>
      <c r="G160" s="1">
        <v>25</v>
      </c>
      <c r="H160" s="1" t="s">
        <v>40</v>
      </c>
      <c r="I160" s="1" t="s">
        <v>41</v>
      </c>
      <c r="J160" s="1" t="s">
        <v>53</v>
      </c>
      <c r="K160" s="1" t="s">
        <v>64</v>
      </c>
      <c r="L160" s="1" t="s">
        <v>64</v>
      </c>
      <c r="M160" s="1" t="s">
        <v>86</v>
      </c>
      <c r="N160" s="1" t="s">
        <v>42</v>
      </c>
      <c r="O160" s="1" t="s">
        <v>71</v>
      </c>
      <c r="P160" s="1">
        <v>3</v>
      </c>
      <c r="Q160" s="1">
        <v>984</v>
      </c>
      <c r="R160" s="1">
        <v>1396</v>
      </c>
      <c r="S160" s="1">
        <v>10</v>
      </c>
      <c r="T160" s="1">
        <f t="shared" si="9"/>
        <v>3769.2000000000003</v>
      </c>
      <c r="U160" s="1">
        <f t="shared" si="10"/>
        <v>2952</v>
      </c>
      <c r="V160" s="1">
        <f t="shared" si="11"/>
        <v>817.20000000000027</v>
      </c>
      <c r="W160" s="1" t="s">
        <v>44</v>
      </c>
      <c r="X160" s="1" t="s">
        <v>34</v>
      </c>
      <c r="Y160" s="1" t="s">
        <v>46</v>
      </c>
    </row>
    <row r="161" spans="1:25" x14ac:dyDescent="0.3">
      <c r="A161" s="1" t="s">
        <v>440</v>
      </c>
      <c r="B161" s="1" t="s">
        <v>441</v>
      </c>
      <c r="C161" s="1" t="str">
        <f t="shared" si="8"/>
        <v>July</v>
      </c>
      <c r="D161" s="1" t="s">
        <v>74</v>
      </c>
      <c r="E161" s="1" t="s">
        <v>442</v>
      </c>
      <c r="F161" s="1" t="s">
        <v>51</v>
      </c>
      <c r="G161" s="1">
        <v>19</v>
      </c>
      <c r="H161" s="1" t="s">
        <v>62</v>
      </c>
      <c r="I161" s="1" t="s">
        <v>63</v>
      </c>
      <c r="J161" s="1" t="s">
        <v>80</v>
      </c>
      <c r="K161" s="1" t="s">
        <v>117</v>
      </c>
      <c r="L161" s="1" t="s">
        <v>117</v>
      </c>
      <c r="M161" s="1" t="s">
        <v>86</v>
      </c>
      <c r="N161" s="1" t="s">
        <v>70</v>
      </c>
      <c r="O161" s="1" t="s">
        <v>43</v>
      </c>
      <c r="P161" s="1">
        <v>1</v>
      </c>
      <c r="Q161" s="1">
        <v>769</v>
      </c>
      <c r="R161" s="1">
        <v>1520</v>
      </c>
      <c r="S161" s="1">
        <v>5</v>
      </c>
      <c r="T161" s="1">
        <f t="shared" si="9"/>
        <v>1444</v>
      </c>
      <c r="U161" s="1">
        <f t="shared" si="10"/>
        <v>769</v>
      </c>
      <c r="V161" s="1">
        <f t="shared" si="11"/>
        <v>675</v>
      </c>
      <c r="W161" s="1" t="s">
        <v>33</v>
      </c>
      <c r="X161" s="1" t="s">
        <v>34</v>
      </c>
      <c r="Y161" s="1" t="s">
        <v>124</v>
      </c>
    </row>
    <row r="162" spans="1:25" x14ac:dyDescent="0.3">
      <c r="A162" s="1" t="s">
        <v>443</v>
      </c>
      <c r="B162" s="1" t="s">
        <v>108</v>
      </c>
      <c r="C162" s="1" t="str">
        <f t="shared" si="8"/>
        <v>October</v>
      </c>
      <c r="D162" s="1" t="s">
        <v>38</v>
      </c>
      <c r="E162" s="1" t="s">
        <v>165</v>
      </c>
      <c r="F162" s="1" t="s">
        <v>51</v>
      </c>
      <c r="G162" s="1">
        <v>45</v>
      </c>
      <c r="H162" s="1" t="s">
        <v>62</v>
      </c>
      <c r="I162" s="1" t="s">
        <v>63</v>
      </c>
      <c r="J162" s="1" t="s">
        <v>53</v>
      </c>
      <c r="K162" s="1" t="s">
        <v>64</v>
      </c>
      <c r="L162" s="1" t="s">
        <v>64</v>
      </c>
      <c r="M162" s="1" t="s">
        <v>86</v>
      </c>
      <c r="N162" s="1" t="s">
        <v>56</v>
      </c>
      <c r="O162" s="1" t="s">
        <v>71</v>
      </c>
      <c r="P162" s="1">
        <v>3</v>
      </c>
      <c r="Q162" s="1">
        <v>1439</v>
      </c>
      <c r="R162" s="1">
        <v>2003</v>
      </c>
      <c r="S162" s="1">
        <v>15</v>
      </c>
      <c r="T162" s="1">
        <f t="shared" si="9"/>
        <v>5107.6499999999996</v>
      </c>
      <c r="U162" s="1">
        <f t="shared" si="10"/>
        <v>4317</v>
      </c>
      <c r="V162" s="1">
        <f t="shared" si="11"/>
        <v>790.64999999999964</v>
      </c>
      <c r="W162" s="1" t="s">
        <v>33</v>
      </c>
      <c r="X162" s="1" t="s">
        <v>45</v>
      </c>
      <c r="Y162" s="1" t="s">
        <v>124</v>
      </c>
    </row>
    <row r="163" spans="1:25" x14ac:dyDescent="0.3">
      <c r="A163" s="1" t="s">
        <v>444</v>
      </c>
      <c r="B163" s="1" t="s">
        <v>256</v>
      </c>
      <c r="C163" s="1" t="str">
        <f t="shared" si="8"/>
        <v>July</v>
      </c>
      <c r="D163" s="1" t="s">
        <v>89</v>
      </c>
      <c r="E163" s="1" t="s">
        <v>424</v>
      </c>
      <c r="F163" s="1" t="s">
        <v>25</v>
      </c>
      <c r="G163" s="1">
        <v>19</v>
      </c>
      <c r="H163" s="1" t="s">
        <v>40</v>
      </c>
      <c r="I163" s="1" t="s">
        <v>41</v>
      </c>
      <c r="J163" s="1" t="s">
        <v>28</v>
      </c>
      <c r="K163" s="1" t="s">
        <v>29</v>
      </c>
      <c r="L163" s="1" t="s">
        <v>29</v>
      </c>
      <c r="M163" s="1" t="s">
        <v>86</v>
      </c>
      <c r="N163" s="1" t="s">
        <v>56</v>
      </c>
      <c r="O163" s="1" t="s">
        <v>113</v>
      </c>
      <c r="P163" s="1">
        <v>2</v>
      </c>
      <c r="Q163" s="1">
        <v>1486</v>
      </c>
      <c r="R163" s="1">
        <v>2060</v>
      </c>
      <c r="S163" s="1">
        <v>20</v>
      </c>
      <c r="T163" s="1">
        <f t="shared" si="9"/>
        <v>3296</v>
      </c>
      <c r="U163" s="1">
        <f t="shared" si="10"/>
        <v>2972</v>
      </c>
      <c r="V163" s="1">
        <f t="shared" si="11"/>
        <v>324</v>
      </c>
      <c r="W163" s="1" t="s">
        <v>66</v>
      </c>
      <c r="X163" s="1" t="s">
        <v>45</v>
      </c>
      <c r="Y163" s="1" t="s">
        <v>35</v>
      </c>
    </row>
    <row r="164" spans="1:25" x14ac:dyDescent="0.3">
      <c r="A164" s="1" t="s">
        <v>445</v>
      </c>
      <c r="B164" s="1" t="s">
        <v>446</v>
      </c>
      <c r="C164" s="1" t="str">
        <f t="shared" si="8"/>
        <v>January</v>
      </c>
      <c r="D164" s="1" t="s">
        <v>85</v>
      </c>
      <c r="E164" s="1" t="s">
        <v>183</v>
      </c>
      <c r="F164" s="1" t="s">
        <v>51</v>
      </c>
      <c r="G164" s="1">
        <v>45</v>
      </c>
      <c r="H164" s="1" t="s">
        <v>62</v>
      </c>
      <c r="I164" s="1" t="s">
        <v>63</v>
      </c>
      <c r="J164" s="1" t="s">
        <v>80</v>
      </c>
      <c r="K164" s="1" t="s">
        <v>117</v>
      </c>
      <c r="L164" s="1" t="s">
        <v>117</v>
      </c>
      <c r="M164" s="1" t="s">
        <v>55</v>
      </c>
      <c r="N164" s="1" t="s">
        <v>42</v>
      </c>
      <c r="O164" s="1" t="s">
        <v>57</v>
      </c>
      <c r="P164" s="1">
        <v>3</v>
      </c>
      <c r="Q164" s="1">
        <v>1366</v>
      </c>
      <c r="R164" s="1">
        <v>2142</v>
      </c>
      <c r="S164" s="1">
        <v>15</v>
      </c>
      <c r="T164" s="1">
        <f t="shared" si="9"/>
        <v>5462.0999999999995</v>
      </c>
      <c r="U164" s="1">
        <f t="shared" si="10"/>
        <v>4098</v>
      </c>
      <c r="V164" s="1">
        <f t="shared" si="11"/>
        <v>1364.0999999999995</v>
      </c>
      <c r="W164" s="1" t="s">
        <v>44</v>
      </c>
      <c r="X164" s="1" t="s">
        <v>34</v>
      </c>
      <c r="Y164" s="1" t="s">
        <v>46</v>
      </c>
    </row>
    <row r="165" spans="1:25" x14ac:dyDescent="0.3">
      <c r="A165" s="1" t="s">
        <v>447</v>
      </c>
      <c r="B165" s="1" t="s">
        <v>161</v>
      </c>
      <c r="C165" s="1" t="str">
        <f t="shared" si="8"/>
        <v>February</v>
      </c>
      <c r="D165" s="1" t="s">
        <v>85</v>
      </c>
      <c r="E165" s="1" t="s">
        <v>189</v>
      </c>
      <c r="F165" s="1" t="s">
        <v>25</v>
      </c>
      <c r="G165" s="1">
        <v>23</v>
      </c>
      <c r="H165" s="1" t="s">
        <v>91</v>
      </c>
      <c r="I165" s="1" t="s">
        <v>92</v>
      </c>
      <c r="J165" s="1" t="s">
        <v>80</v>
      </c>
      <c r="K165" s="1" t="s">
        <v>117</v>
      </c>
      <c r="L165" s="1" t="s">
        <v>117</v>
      </c>
      <c r="M165" s="1" t="s">
        <v>30</v>
      </c>
      <c r="N165" s="1" t="s">
        <v>56</v>
      </c>
      <c r="O165" s="1" t="s">
        <v>43</v>
      </c>
      <c r="P165" s="1">
        <v>1</v>
      </c>
      <c r="Q165" s="1">
        <v>432</v>
      </c>
      <c r="R165" s="1">
        <v>921</v>
      </c>
      <c r="S165" s="1">
        <v>0</v>
      </c>
      <c r="T165" s="1">
        <f t="shared" si="9"/>
        <v>921</v>
      </c>
      <c r="U165" s="1">
        <f t="shared" si="10"/>
        <v>432</v>
      </c>
      <c r="V165" s="1">
        <f t="shared" si="11"/>
        <v>489</v>
      </c>
      <c r="W165" s="1" t="s">
        <v>33</v>
      </c>
      <c r="X165" s="1" t="s">
        <v>34</v>
      </c>
      <c r="Y165" s="1" t="s">
        <v>46</v>
      </c>
    </row>
    <row r="166" spans="1:25" x14ac:dyDescent="0.3">
      <c r="A166" s="1" t="s">
        <v>448</v>
      </c>
      <c r="B166" s="1" t="s">
        <v>449</v>
      </c>
      <c r="C166" s="1" t="str">
        <f t="shared" si="8"/>
        <v>August</v>
      </c>
      <c r="D166" s="1" t="s">
        <v>38</v>
      </c>
      <c r="E166" s="1" t="s">
        <v>222</v>
      </c>
      <c r="F166" s="1" t="s">
        <v>25</v>
      </c>
      <c r="G166" s="1">
        <v>52</v>
      </c>
      <c r="H166" s="1" t="s">
        <v>40</v>
      </c>
      <c r="I166" s="1" t="s">
        <v>41</v>
      </c>
      <c r="J166" s="1" t="s">
        <v>28</v>
      </c>
      <c r="K166" s="1" t="s">
        <v>100</v>
      </c>
      <c r="L166" s="1" t="s">
        <v>100</v>
      </c>
      <c r="M166" s="1" t="s">
        <v>30</v>
      </c>
      <c r="N166" s="1" t="s">
        <v>56</v>
      </c>
      <c r="O166" s="1" t="s">
        <v>113</v>
      </c>
      <c r="P166" s="1">
        <v>2</v>
      </c>
      <c r="Q166" s="1">
        <v>755</v>
      </c>
      <c r="R166" s="1">
        <v>982</v>
      </c>
      <c r="S166" s="1">
        <v>0</v>
      </c>
      <c r="T166" s="1">
        <f t="shared" si="9"/>
        <v>1964</v>
      </c>
      <c r="U166" s="1">
        <f t="shared" si="10"/>
        <v>1510</v>
      </c>
      <c r="V166" s="1">
        <f t="shared" si="11"/>
        <v>454</v>
      </c>
      <c r="W166" s="1" t="s">
        <v>33</v>
      </c>
      <c r="X166" s="1" t="s">
        <v>34</v>
      </c>
      <c r="Y166" s="1" t="s">
        <v>124</v>
      </c>
    </row>
    <row r="167" spans="1:25" x14ac:dyDescent="0.3">
      <c r="A167" s="1" t="s">
        <v>450</v>
      </c>
      <c r="B167" s="1" t="s">
        <v>451</v>
      </c>
      <c r="C167" s="1" t="str">
        <f t="shared" si="8"/>
        <v>January</v>
      </c>
      <c r="D167" s="1" t="s">
        <v>38</v>
      </c>
      <c r="E167" s="1" t="s">
        <v>123</v>
      </c>
      <c r="F167" s="1" t="s">
        <v>51</v>
      </c>
      <c r="G167" s="1">
        <v>18</v>
      </c>
      <c r="H167" s="1" t="s">
        <v>91</v>
      </c>
      <c r="I167" s="1" t="s">
        <v>92</v>
      </c>
      <c r="J167" s="1" t="s">
        <v>28</v>
      </c>
      <c r="K167" s="1" t="s">
        <v>29</v>
      </c>
      <c r="L167" s="1" t="s">
        <v>29</v>
      </c>
      <c r="M167" s="1" t="s">
        <v>55</v>
      </c>
      <c r="N167" s="1" t="s">
        <v>56</v>
      </c>
      <c r="O167" s="1" t="s">
        <v>43</v>
      </c>
      <c r="P167" s="1">
        <v>5</v>
      </c>
      <c r="Q167" s="1">
        <v>1027</v>
      </c>
      <c r="R167" s="1">
        <v>1580</v>
      </c>
      <c r="S167" s="1">
        <v>5</v>
      </c>
      <c r="T167" s="1">
        <f t="shared" si="9"/>
        <v>7505</v>
      </c>
      <c r="U167" s="1">
        <f t="shared" si="10"/>
        <v>5135</v>
      </c>
      <c r="V167" s="1">
        <f t="shared" si="11"/>
        <v>2370</v>
      </c>
      <c r="W167" s="1" t="s">
        <v>44</v>
      </c>
      <c r="X167" s="1" t="s">
        <v>45</v>
      </c>
      <c r="Y167" s="1" t="s">
        <v>35</v>
      </c>
    </row>
    <row r="168" spans="1:25" x14ac:dyDescent="0.3">
      <c r="A168" s="1" t="s">
        <v>452</v>
      </c>
      <c r="B168" s="1" t="s">
        <v>453</v>
      </c>
      <c r="C168" s="1" t="str">
        <f t="shared" si="8"/>
        <v>February</v>
      </c>
      <c r="D168" s="1" t="s">
        <v>127</v>
      </c>
      <c r="E168" s="1" t="s">
        <v>239</v>
      </c>
      <c r="F168" s="1" t="s">
        <v>51</v>
      </c>
      <c r="G168" s="1">
        <v>30</v>
      </c>
      <c r="H168" s="1" t="s">
        <v>62</v>
      </c>
      <c r="I168" s="1" t="s">
        <v>63</v>
      </c>
      <c r="J168" s="1" t="s">
        <v>53</v>
      </c>
      <c r="K168" s="1" t="s">
        <v>54</v>
      </c>
      <c r="L168" s="1" t="s">
        <v>54</v>
      </c>
      <c r="M168" s="1" t="s">
        <v>30</v>
      </c>
      <c r="N168" s="1" t="s">
        <v>70</v>
      </c>
      <c r="O168" s="1" t="s">
        <v>43</v>
      </c>
      <c r="P168" s="1">
        <v>4</v>
      </c>
      <c r="Q168" s="1">
        <v>932</v>
      </c>
      <c r="R168" s="1">
        <v>1424</v>
      </c>
      <c r="S168" s="1">
        <v>10</v>
      </c>
      <c r="T168" s="1">
        <f t="shared" si="9"/>
        <v>5126.4000000000005</v>
      </c>
      <c r="U168" s="1">
        <f t="shared" si="10"/>
        <v>3728</v>
      </c>
      <c r="V168" s="1">
        <f t="shared" si="11"/>
        <v>1398.4000000000005</v>
      </c>
      <c r="W168" s="1" t="s">
        <v>66</v>
      </c>
      <c r="X168" s="1" t="s">
        <v>45</v>
      </c>
      <c r="Y168" s="1" t="s">
        <v>46</v>
      </c>
    </row>
    <row r="169" spans="1:25" x14ac:dyDescent="0.3">
      <c r="A169" s="1" t="s">
        <v>454</v>
      </c>
      <c r="B169" s="1" t="s">
        <v>455</v>
      </c>
      <c r="C169" s="1" t="str">
        <f t="shared" si="8"/>
        <v>October</v>
      </c>
      <c r="D169" s="1" t="s">
        <v>38</v>
      </c>
      <c r="E169" s="1" t="s">
        <v>79</v>
      </c>
      <c r="F169" s="1" t="s">
        <v>51</v>
      </c>
      <c r="G169" s="1">
        <v>38</v>
      </c>
      <c r="H169" s="1" t="s">
        <v>62</v>
      </c>
      <c r="I169" s="1" t="s">
        <v>63</v>
      </c>
      <c r="J169" s="1" t="s">
        <v>53</v>
      </c>
      <c r="K169" s="1" t="s">
        <v>64</v>
      </c>
      <c r="L169" s="1" t="s">
        <v>64</v>
      </c>
      <c r="M169" s="1" t="s">
        <v>82</v>
      </c>
      <c r="N169" s="1" t="s">
        <v>31</v>
      </c>
      <c r="O169" s="1" t="s">
        <v>32</v>
      </c>
      <c r="P169" s="1">
        <v>2</v>
      </c>
      <c r="Q169" s="1">
        <v>648</v>
      </c>
      <c r="R169" s="1">
        <v>802</v>
      </c>
      <c r="S169" s="1">
        <v>10</v>
      </c>
      <c r="T169" s="1">
        <f t="shared" si="9"/>
        <v>1443.6000000000001</v>
      </c>
      <c r="U169" s="1">
        <f t="shared" si="10"/>
        <v>1296</v>
      </c>
      <c r="V169" s="1">
        <f t="shared" si="11"/>
        <v>147.60000000000014</v>
      </c>
      <c r="W169" s="1" t="s">
        <v>44</v>
      </c>
      <c r="X169" s="1" t="s">
        <v>45</v>
      </c>
      <c r="Y169" s="1" t="s">
        <v>35</v>
      </c>
    </row>
    <row r="170" spans="1:25" x14ac:dyDescent="0.3">
      <c r="A170" s="1" t="s">
        <v>456</v>
      </c>
      <c r="B170" s="1" t="s">
        <v>457</v>
      </c>
      <c r="C170" s="1" t="str">
        <f t="shared" si="8"/>
        <v>April</v>
      </c>
      <c r="D170" s="1" t="s">
        <v>98</v>
      </c>
      <c r="E170" s="1" t="s">
        <v>244</v>
      </c>
      <c r="F170" s="1" t="s">
        <v>25</v>
      </c>
      <c r="G170" s="1">
        <v>22</v>
      </c>
      <c r="H170" s="1" t="s">
        <v>62</v>
      </c>
      <c r="I170" s="1" t="s">
        <v>63</v>
      </c>
      <c r="J170" s="1" t="s">
        <v>28</v>
      </c>
      <c r="K170" s="1" t="s">
        <v>100</v>
      </c>
      <c r="L170" s="1" t="s">
        <v>100</v>
      </c>
      <c r="M170" s="1" t="s">
        <v>55</v>
      </c>
      <c r="N170" s="1" t="s">
        <v>42</v>
      </c>
      <c r="O170" s="1" t="s">
        <v>43</v>
      </c>
      <c r="P170" s="1">
        <v>3</v>
      </c>
      <c r="Q170" s="1">
        <v>1443</v>
      </c>
      <c r="R170" s="1">
        <v>1614</v>
      </c>
      <c r="S170" s="1">
        <v>20</v>
      </c>
      <c r="T170" s="1">
        <f t="shared" si="9"/>
        <v>3873.6000000000004</v>
      </c>
      <c r="U170" s="1">
        <f t="shared" si="10"/>
        <v>4329</v>
      </c>
      <c r="V170" s="1">
        <f t="shared" si="11"/>
        <v>-455.39999999999964</v>
      </c>
      <c r="W170" s="1" t="s">
        <v>66</v>
      </c>
      <c r="X170" s="1" t="s">
        <v>34</v>
      </c>
      <c r="Y170" s="1" t="s">
        <v>46</v>
      </c>
    </row>
    <row r="171" spans="1:25" x14ac:dyDescent="0.3">
      <c r="A171" s="1" t="s">
        <v>458</v>
      </c>
      <c r="B171" s="1" t="s">
        <v>421</v>
      </c>
      <c r="C171" s="1" t="str">
        <f t="shared" si="8"/>
        <v>March</v>
      </c>
      <c r="D171" s="1" t="s">
        <v>85</v>
      </c>
      <c r="E171" s="1" t="s">
        <v>222</v>
      </c>
      <c r="F171" s="1" t="s">
        <v>51</v>
      </c>
      <c r="G171" s="1">
        <v>24</v>
      </c>
      <c r="H171" s="1" t="s">
        <v>52</v>
      </c>
      <c r="I171" s="1" t="s">
        <v>52</v>
      </c>
      <c r="J171" s="1" t="s">
        <v>28</v>
      </c>
      <c r="K171" s="1" t="s">
        <v>100</v>
      </c>
      <c r="L171" s="1" t="s">
        <v>100</v>
      </c>
      <c r="M171" s="1" t="s">
        <v>82</v>
      </c>
      <c r="N171" s="1" t="s">
        <v>42</v>
      </c>
      <c r="O171" s="1" t="s">
        <v>113</v>
      </c>
      <c r="P171" s="1">
        <v>3</v>
      </c>
      <c r="Q171" s="1">
        <v>1043</v>
      </c>
      <c r="R171" s="1">
        <v>1527</v>
      </c>
      <c r="S171" s="1">
        <v>20</v>
      </c>
      <c r="T171" s="1">
        <f t="shared" si="9"/>
        <v>3664.8</v>
      </c>
      <c r="U171" s="1">
        <f t="shared" si="10"/>
        <v>3129</v>
      </c>
      <c r="V171" s="1">
        <f t="shared" si="11"/>
        <v>535.80000000000018</v>
      </c>
      <c r="W171" s="1" t="s">
        <v>66</v>
      </c>
      <c r="X171" s="1" t="s">
        <v>34</v>
      </c>
      <c r="Y171" s="1" t="s">
        <v>46</v>
      </c>
    </row>
    <row r="172" spans="1:25" x14ac:dyDescent="0.3">
      <c r="A172" s="1" t="s">
        <v>459</v>
      </c>
      <c r="B172" s="1" t="s">
        <v>392</v>
      </c>
      <c r="C172" s="1" t="str">
        <f t="shared" si="8"/>
        <v>December</v>
      </c>
      <c r="D172" s="1" t="s">
        <v>60</v>
      </c>
      <c r="E172" s="1" t="s">
        <v>75</v>
      </c>
      <c r="F172" s="1" t="s">
        <v>51</v>
      </c>
      <c r="G172" s="1">
        <v>34</v>
      </c>
      <c r="H172" s="1" t="s">
        <v>26</v>
      </c>
      <c r="I172" s="1" t="s">
        <v>27</v>
      </c>
      <c r="J172" s="1" t="s">
        <v>80</v>
      </c>
      <c r="K172" s="1" t="s">
        <v>117</v>
      </c>
      <c r="L172" s="1" t="s">
        <v>117</v>
      </c>
      <c r="M172" s="1" t="s">
        <v>86</v>
      </c>
      <c r="N172" s="1" t="s">
        <v>70</v>
      </c>
      <c r="O172" s="1" t="s">
        <v>113</v>
      </c>
      <c r="P172" s="1">
        <v>3</v>
      </c>
      <c r="Q172" s="1">
        <v>600</v>
      </c>
      <c r="R172" s="1">
        <v>1146</v>
      </c>
      <c r="S172" s="1">
        <v>10</v>
      </c>
      <c r="T172" s="1">
        <f t="shared" si="9"/>
        <v>3094.2000000000003</v>
      </c>
      <c r="U172" s="1">
        <f t="shared" si="10"/>
        <v>1800</v>
      </c>
      <c r="V172" s="1">
        <f t="shared" si="11"/>
        <v>1294.2000000000003</v>
      </c>
      <c r="W172" s="1" t="s">
        <v>66</v>
      </c>
      <c r="X172" s="1" t="s">
        <v>45</v>
      </c>
      <c r="Y172" s="1" t="s">
        <v>124</v>
      </c>
    </row>
    <row r="173" spans="1:25" x14ac:dyDescent="0.3">
      <c r="A173" s="1" t="s">
        <v>460</v>
      </c>
      <c r="B173" s="1" t="s">
        <v>461</v>
      </c>
      <c r="C173" s="1" t="str">
        <f t="shared" si="8"/>
        <v>January</v>
      </c>
      <c r="D173" s="1" t="s">
        <v>60</v>
      </c>
      <c r="E173" s="1" t="s">
        <v>403</v>
      </c>
      <c r="F173" s="1" t="s">
        <v>51</v>
      </c>
      <c r="G173" s="1">
        <v>29</v>
      </c>
      <c r="H173" s="1" t="s">
        <v>91</v>
      </c>
      <c r="I173" s="1" t="s">
        <v>92</v>
      </c>
      <c r="J173" s="1" t="s">
        <v>80</v>
      </c>
      <c r="K173" s="1" t="s">
        <v>81</v>
      </c>
      <c r="L173" s="1" t="s">
        <v>81</v>
      </c>
      <c r="M173" s="1" t="s">
        <v>55</v>
      </c>
      <c r="N173" s="1" t="s">
        <v>42</v>
      </c>
      <c r="O173" s="1" t="s">
        <v>32</v>
      </c>
      <c r="P173" s="1">
        <v>2</v>
      </c>
      <c r="Q173" s="1">
        <v>326</v>
      </c>
      <c r="R173" s="1">
        <v>1102</v>
      </c>
      <c r="S173" s="1">
        <v>15</v>
      </c>
      <c r="T173" s="1">
        <f t="shared" si="9"/>
        <v>1873.3999999999999</v>
      </c>
      <c r="U173" s="1">
        <f t="shared" si="10"/>
        <v>652</v>
      </c>
      <c r="V173" s="1">
        <f t="shared" si="11"/>
        <v>1221.3999999999999</v>
      </c>
      <c r="W173" s="1" t="s">
        <v>44</v>
      </c>
      <c r="X173" s="1" t="s">
        <v>34</v>
      </c>
      <c r="Y173" s="1" t="s">
        <v>35</v>
      </c>
    </row>
    <row r="174" spans="1:25" x14ac:dyDescent="0.3">
      <c r="A174" s="1" t="s">
        <v>462</v>
      </c>
      <c r="B174" s="1" t="s">
        <v>463</v>
      </c>
      <c r="C174" s="1" t="str">
        <f t="shared" si="8"/>
        <v>August</v>
      </c>
      <c r="D174" s="1" t="s">
        <v>38</v>
      </c>
      <c r="E174" s="1" t="s">
        <v>120</v>
      </c>
      <c r="F174" s="1" t="s">
        <v>25</v>
      </c>
      <c r="G174" s="1">
        <v>30</v>
      </c>
      <c r="H174" s="1" t="s">
        <v>40</v>
      </c>
      <c r="I174" s="1" t="s">
        <v>41</v>
      </c>
      <c r="J174" s="1" t="s">
        <v>53</v>
      </c>
      <c r="K174" s="1" t="s">
        <v>54</v>
      </c>
      <c r="L174" s="1" t="s">
        <v>54</v>
      </c>
      <c r="M174" s="1" t="s">
        <v>65</v>
      </c>
      <c r="N174" s="1" t="s">
        <v>56</v>
      </c>
      <c r="O174" s="1" t="s">
        <v>43</v>
      </c>
      <c r="P174" s="1">
        <v>3</v>
      </c>
      <c r="Q174" s="1">
        <v>454</v>
      </c>
      <c r="R174" s="1">
        <v>1232</v>
      </c>
      <c r="S174" s="1">
        <v>15</v>
      </c>
      <c r="T174" s="1">
        <f t="shared" si="9"/>
        <v>3141.6</v>
      </c>
      <c r="U174" s="1">
        <f t="shared" si="10"/>
        <v>1362</v>
      </c>
      <c r="V174" s="1">
        <f t="shared" si="11"/>
        <v>1779.6</v>
      </c>
      <c r="W174" s="1" t="s">
        <v>66</v>
      </c>
      <c r="X174" s="1" t="s">
        <v>34</v>
      </c>
      <c r="Y174" s="1" t="s">
        <v>35</v>
      </c>
    </row>
    <row r="175" spans="1:25" x14ac:dyDescent="0.3">
      <c r="A175" s="1" t="s">
        <v>464</v>
      </c>
      <c r="B175" s="1" t="s">
        <v>465</v>
      </c>
      <c r="C175" s="1" t="str">
        <f t="shared" si="8"/>
        <v>October</v>
      </c>
      <c r="D175" s="1" t="s">
        <v>60</v>
      </c>
      <c r="E175" s="1" t="s">
        <v>186</v>
      </c>
      <c r="F175" s="1" t="s">
        <v>51</v>
      </c>
      <c r="G175" s="1">
        <v>46</v>
      </c>
      <c r="H175" s="1" t="s">
        <v>52</v>
      </c>
      <c r="I175" s="1" t="s">
        <v>52</v>
      </c>
      <c r="J175" s="1" t="s">
        <v>28</v>
      </c>
      <c r="K175" s="1" t="s">
        <v>29</v>
      </c>
      <c r="L175" s="1" t="s">
        <v>29</v>
      </c>
      <c r="M175" s="1" t="s">
        <v>82</v>
      </c>
      <c r="N175" s="1" t="s">
        <v>31</v>
      </c>
      <c r="O175" s="1" t="s">
        <v>32</v>
      </c>
      <c r="P175" s="1">
        <v>4</v>
      </c>
      <c r="Q175" s="1">
        <v>638</v>
      </c>
      <c r="R175" s="1">
        <v>1069</v>
      </c>
      <c r="S175" s="1">
        <v>20</v>
      </c>
      <c r="T175" s="1">
        <f t="shared" si="9"/>
        <v>3420.8</v>
      </c>
      <c r="U175" s="1">
        <f t="shared" si="10"/>
        <v>2552</v>
      </c>
      <c r="V175" s="1">
        <f t="shared" si="11"/>
        <v>868.80000000000018</v>
      </c>
      <c r="W175" s="1" t="s">
        <v>66</v>
      </c>
      <c r="X175" s="1" t="s">
        <v>45</v>
      </c>
      <c r="Y175" s="1" t="s">
        <v>35</v>
      </c>
    </row>
    <row r="176" spans="1:25" x14ac:dyDescent="0.3">
      <c r="A176" s="1" t="s">
        <v>466</v>
      </c>
      <c r="B176" s="1" t="s">
        <v>467</v>
      </c>
      <c r="C176" s="1" t="str">
        <f t="shared" si="8"/>
        <v>January</v>
      </c>
      <c r="D176" s="1" t="s">
        <v>38</v>
      </c>
      <c r="E176" s="1" t="s">
        <v>131</v>
      </c>
      <c r="F176" s="1" t="s">
        <v>25</v>
      </c>
      <c r="G176" s="1">
        <v>46</v>
      </c>
      <c r="H176" s="1" t="s">
        <v>52</v>
      </c>
      <c r="I176" s="1" t="s">
        <v>52</v>
      </c>
      <c r="J176" s="1" t="s">
        <v>80</v>
      </c>
      <c r="K176" s="1" t="s">
        <v>81</v>
      </c>
      <c r="L176" s="1" t="s">
        <v>81</v>
      </c>
      <c r="M176" s="1" t="s">
        <v>55</v>
      </c>
      <c r="N176" s="1" t="s">
        <v>70</v>
      </c>
      <c r="O176" s="1" t="s">
        <v>32</v>
      </c>
      <c r="P176" s="1">
        <v>2</v>
      </c>
      <c r="Q176" s="1">
        <v>1300</v>
      </c>
      <c r="R176" s="1">
        <v>1850</v>
      </c>
      <c r="S176" s="1">
        <v>0</v>
      </c>
      <c r="T176" s="1">
        <f t="shared" si="9"/>
        <v>3700</v>
      </c>
      <c r="U176" s="1">
        <f t="shared" si="10"/>
        <v>2600</v>
      </c>
      <c r="V176" s="1">
        <f t="shared" si="11"/>
        <v>1100</v>
      </c>
      <c r="W176" s="1" t="s">
        <v>66</v>
      </c>
      <c r="X176" s="1" t="s">
        <v>45</v>
      </c>
      <c r="Y176" s="1" t="s">
        <v>46</v>
      </c>
    </row>
    <row r="177" spans="1:25" x14ac:dyDescent="0.3">
      <c r="A177" s="1" t="s">
        <v>468</v>
      </c>
      <c r="B177" s="1" t="s">
        <v>469</v>
      </c>
      <c r="C177" s="1" t="str">
        <f t="shared" si="8"/>
        <v>February</v>
      </c>
      <c r="D177" s="1" t="s">
        <v>60</v>
      </c>
      <c r="E177" s="1" t="s">
        <v>287</v>
      </c>
      <c r="F177" s="1" t="s">
        <v>51</v>
      </c>
      <c r="G177" s="1">
        <v>19</v>
      </c>
      <c r="H177" s="1" t="s">
        <v>26</v>
      </c>
      <c r="I177" s="1" t="s">
        <v>27</v>
      </c>
      <c r="J177" s="1" t="s">
        <v>28</v>
      </c>
      <c r="K177" s="1" t="s">
        <v>100</v>
      </c>
      <c r="L177" s="1" t="s">
        <v>100</v>
      </c>
      <c r="M177" s="1" t="s">
        <v>86</v>
      </c>
      <c r="N177" s="1" t="s">
        <v>31</v>
      </c>
      <c r="O177" s="1" t="s">
        <v>57</v>
      </c>
      <c r="P177" s="1">
        <v>2</v>
      </c>
      <c r="Q177" s="1">
        <v>671</v>
      </c>
      <c r="R177" s="1">
        <v>1070</v>
      </c>
      <c r="S177" s="1">
        <v>5</v>
      </c>
      <c r="T177" s="1">
        <f t="shared" si="9"/>
        <v>2033</v>
      </c>
      <c r="U177" s="1">
        <f t="shared" si="10"/>
        <v>1342</v>
      </c>
      <c r="V177" s="1">
        <f t="shared" si="11"/>
        <v>691</v>
      </c>
      <c r="W177" s="1" t="s">
        <v>66</v>
      </c>
      <c r="X177" s="1" t="s">
        <v>34</v>
      </c>
      <c r="Y177" s="1" t="s">
        <v>46</v>
      </c>
    </row>
    <row r="178" spans="1:25" x14ac:dyDescent="0.3">
      <c r="A178" s="1" t="s">
        <v>470</v>
      </c>
      <c r="B178" s="1" t="s">
        <v>471</v>
      </c>
      <c r="C178" s="1" t="str">
        <f t="shared" si="8"/>
        <v>February</v>
      </c>
      <c r="D178" s="1" t="s">
        <v>49</v>
      </c>
      <c r="E178" s="1" t="s">
        <v>295</v>
      </c>
      <c r="F178" s="1" t="s">
        <v>25</v>
      </c>
      <c r="G178" s="1">
        <v>54</v>
      </c>
      <c r="H178" s="1" t="s">
        <v>40</v>
      </c>
      <c r="I178" s="1" t="s">
        <v>41</v>
      </c>
      <c r="J178" s="1" t="s">
        <v>28</v>
      </c>
      <c r="K178" s="1" t="s">
        <v>100</v>
      </c>
      <c r="L178" s="1" t="s">
        <v>100</v>
      </c>
      <c r="M178" s="1" t="s">
        <v>30</v>
      </c>
      <c r="N178" s="1" t="s">
        <v>70</v>
      </c>
      <c r="O178" s="1" t="s">
        <v>32</v>
      </c>
      <c r="P178" s="1">
        <v>1</v>
      </c>
      <c r="Q178" s="1">
        <v>612</v>
      </c>
      <c r="R178" s="1">
        <v>1273</v>
      </c>
      <c r="S178" s="1">
        <v>20</v>
      </c>
      <c r="T178" s="1">
        <f t="shared" si="9"/>
        <v>1018.4000000000001</v>
      </c>
      <c r="U178" s="1">
        <f t="shared" si="10"/>
        <v>612</v>
      </c>
      <c r="V178" s="1">
        <f t="shared" si="11"/>
        <v>406.40000000000009</v>
      </c>
      <c r="W178" s="1" t="s">
        <v>33</v>
      </c>
      <c r="X178" s="1" t="s">
        <v>34</v>
      </c>
      <c r="Y178" s="1" t="s">
        <v>35</v>
      </c>
    </row>
    <row r="179" spans="1:25" x14ac:dyDescent="0.3">
      <c r="A179" s="1" t="s">
        <v>472</v>
      </c>
      <c r="B179" s="1" t="s">
        <v>473</v>
      </c>
      <c r="C179" s="1" t="str">
        <f t="shared" si="8"/>
        <v>March</v>
      </c>
      <c r="D179" s="1" t="s">
        <v>74</v>
      </c>
      <c r="E179" s="1" t="s">
        <v>307</v>
      </c>
      <c r="F179" s="1" t="s">
        <v>25</v>
      </c>
      <c r="G179" s="1">
        <v>34</v>
      </c>
      <c r="H179" s="1" t="s">
        <v>91</v>
      </c>
      <c r="I179" s="1" t="s">
        <v>92</v>
      </c>
      <c r="J179" s="1" t="s">
        <v>28</v>
      </c>
      <c r="K179" s="1" t="s">
        <v>29</v>
      </c>
      <c r="L179" s="1" t="s">
        <v>29</v>
      </c>
      <c r="M179" s="1" t="s">
        <v>30</v>
      </c>
      <c r="N179" s="1" t="s">
        <v>70</v>
      </c>
      <c r="O179" s="1" t="s">
        <v>32</v>
      </c>
      <c r="P179" s="1">
        <v>5</v>
      </c>
      <c r="Q179" s="1">
        <v>1331</v>
      </c>
      <c r="R179" s="1">
        <v>1449</v>
      </c>
      <c r="S179" s="1">
        <v>20</v>
      </c>
      <c r="T179" s="1">
        <f t="shared" si="9"/>
        <v>5796</v>
      </c>
      <c r="U179" s="1">
        <f t="shared" si="10"/>
        <v>6655</v>
      </c>
      <c r="V179" s="1">
        <f t="shared" si="11"/>
        <v>-859</v>
      </c>
      <c r="W179" s="1" t="s">
        <v>66</v>
      </c>
      <c r="X179" s="1" t="s">
        <v>45</v>
      </c>
      <c r="Y179" s="1" t="s">
        <v>46</v>
      </c>
    </row>
    <row r="180" spans="1:25" x14ac:dyDescent="0.3">
      <c r="A180" s="1" t="s">
        <v>474</v>
      </c>
      <c r="B180" s="1" t="s">
        <v>326</v>
      </c>
      <c r="C180" s="1" t="str">
        <f t="shared" si="8"/>
        <v>August</v>
      </c>
      <c r="D180" s="1" t="s">
        <v>127</v>
      </c>
      <c r="E180" s="1" t="s">
        <v>99</v>
      </c>
      <c r="F180" s="1" t="s">
        <v>51</v>
      </c>
      <c r="G180" s="1">
        <v>35</v>
      </c>
      <c r="H180" s="1" t="s">
        <v>52</v>
      </c>
      <c r="I180" s="1" t="s">
        <v>52</v>
      </c>
      <c r="J180" s="1" t="s">
        <v>28</v>
      </c>
      <c r="K180" s="1" t="s">
        <v>29</v>
      </c>
      <c r="L180" s="1" t="s">
        <v>29</v>
      </c>
      <c r="M180" s="1" t="s">
        <v>86</v>
      </c>
      <c r="N180" s="1" t="s">
        <v>42</v>
      </c>
      <c r="O180" s="1" t="s">
        <v>71</v>
      </c>
      <c r="P180" s="1">
        <v>5</v>
      </c>
      <c r="Q180" s="1">
        <v>562</v>
      </c>
      <c r="R180" s="1">
        <v>1041</v>
      </c>
      <c r="S180" s="1">
        <v>10</v>
      </c>
      <c r="T180" s="1">
        <f t="shared" si="9"/>
        <v>4684.5</v>
      </c>
      <c r="U180" s="1">
        <f t="shared" si="10"/>
        <v>2810</v>
      </c>
      <c r="V180" s="1">
        <f t="shared" si="11"/>
        <v>1874.5</v>
      </c>
      <c r="W180" s="1" t="s">
        <v>33</v>
      </c>
      <c r="X180" s="1" t="s">
        <v>45</v>
      </c>
      <c r="Y180" s="1" t="s">
        <v>124</v>
      </c>
    </row>
    <row r="181" spans="1:25" x14ac:dyDescent="0.3">
      <c r="A181" s="1" t="s">
        <v>475</v>
      </c>
      <c r="B181" s="1" t="s">
        <v>328</v>
      </c>
      <c r="C181" s="1" t="str">
        <f t="shared" si="8"/>
        <v>April</v>
      </c>
      <c r="D181" s="1" t="s">
        <v>38</v>
      </c>
      <c r="E181" s="1" t="s">
        <v>50</v>
      </c>
      <c r="F181" s="1" t="s">
        <v>51</v>
      </c>
      <c r="G181" s="1">
        <v>32</v>
      </c>
      <c r="H181" s="1" t="s">
        <v>26</v>
      </c>
      <c r="I181" s="1" t="s">
        <v>27</v>
      </c>
      <c r="J181" s="1" t="s">
        <v>28</v>
      </c>
      <c r="K181" s="1" t="s">
        <v>100</v>
      </c>
      <c r="L181" s="1" t="s">
        <v>100</v>
      </c>
      <c r="M181" s="1" t="s">
        <v>65</v>
      </c>
      <c r="N181" s="1" t="s">
        <v>31</v>
      </c>
      <c r="O181" s="1" t="s">
        <v>32</v>
      </c>
      <c r="P181" s="1">
        <v>4</v>
      </c>
      <c r="Q181" s="1">
        <v>1375</v>
      </c>
      <c r="R181" s="1">
        <v>1600</v>
      </c>
      <c r="S181" s="1">
        <v>5</v>
      </c>
      <c r="T181" s="1">
        <f t="shared" si="9"/>
        <v>6080</v>
      </c>
      <c r="U181" s="1">
        <f t="shared" si="10"/>
        <v>5500</v>
      </c>
      <c r="V181" s="1">
        <f t="shared" si="11"/>
        <v>580</v>
      </c>
      <c r="W181" s="1" t="s">
        <v>66</v>
      </c>
      <c r="X181" s="1" t="s">
        <v>34</v>
      </c>
      <c r="Y181" s="1" t="s">
        <v>35</v>
      </c>
    </row>
    <row r="182" spans="1:25" x14ac:dyDescent="0.3">
      <c r="A182" s="1" t="s">
        <v>476</v>
      </c>
      <c r="B182" s="1" t="s">
        <v>477</v>
      </c>
      <c r="C182" s="1" t="str">
        <f t="shared" si="8"/>
        <v>June</v>
      </c>
      <c r="D182" s="1" t="s">
        <v>127</v>
      </c>
      <c r="E182" s="1" t="s">
        <v>478</v>
      </c>
      <c r="F182" s="1" t="s">
        <v>25</v>
      </c>
      <c r="G182" s="1">
        <v>42</v>
      </c>
      <c r="H182" s="1" t="s">
        <v>26</v>
      </c>
      <c r="I182" s="1" t="s">
        <v>27</v>
      </c>
      <c r="J182" s="1" t="s">
        <v>53</v>
      </c>
      <c r="K182" s="1" t="s">
        <v>54</v>
      </c>
      <c r="L182" s="1" t="s">
        <v>54</v>
      </c>
      <c r="M182" s="1" t="s">
        <v>86</v>
      </c>
      <c r="N182" s="1" t="s">
        <v>42</v>
      </c>
      <c r="O182" s="1" t="s">
        <v>113</v>
      </c>
      <c r="P182" s="1">
        <v>5</v>
      </c>
      <c r="Q182" s="1">
        <v>636</v>
      </c>
      <c r="R182" s="1">
        <v>979</v>
      </c>
      <c r="S182" s="1">
        <v>15</v>
      </c>
      <c r="T182" s="1">
        <f t="shared" si="9"/>
        <v>4160.75</v>
      </c>
      <c r="U182" s="1">
        <f t="shared" si="10"/>
        <v>3180</v>
      </c>
      <c r="V182" s="1">
        <f t="shared" si="11"/>
        <v>980.75</v>
      </c>
      <c r="W182" s="1" t="s">
        <v>44</v>
      </c>
      <c r="X182" s="1" t="s">
        <v>34</v>
      </c>
      <c r="Y182" s="1" t="s">
        <v>46</v>
      </c>
    </row>
    <row r="183" spans="1:25" x14ac:dyDescent="0.3">
      <c r="A183" s="1" t="s">
        <v>479</v>
      </c>
      <c r="B183" s="1" t="s">
        <v>153</v>
      </c>
      <c r="C183" s="1" t="str">
        <f t="shared" si="8"/>
        <v>March</v>
      </c>
      <c r="D183" s="1" t="s">
        <v>127</v>
      </c>
      <c r="E183" s="1" t="s">
        <v>140</v>
      </c>
      <c r="F183" s="1" t="s">
        <v>25</v>
      </c>
      <c r="G183" s="1">
        <v>18</v>
      </c>
      <c r="H183" s="1" t="s">
        <v>52</v>
      </c>
      <c r="I183" s="1" t="s">
        <v>52</v>
      </c>
      <c r="J183" s="1" t="s">
        <v>28</v>
      </c>
      <c r="K183" s="1" t="s">
        <v>100</v>
      </c>
      <c r="L183" s="1" t="s">
        <v>100</v>
      </c>
      <c r="M183" s="1" t="s">
        <v>82</v>
      </c>
      <c r="N183" s="1" t="s">
        <v>70</v>
      </c>
      <c r="O183" s="1" t="s">
        <v>32</v>
      </c>
      <c r="P183" s="1">
        <v>4</v>
      </c>
      <c r="Q183" s="1">
        <v>931</v>
      </c>
      <c r="R183" s="1">
        <v>1223</v>
      </c>
      <c r="S183" s="1">
        <v>0</v>
      </c>
      <c r="T183" s="1">
        <f t="shared" si="9"/>
        <v>4892</v>
      </c>
      <c r="U183" s="1">
        <f t="shared" si="10"/>
        <v>3724</v>
      </c>
      <c r="V183" s="1">
        <f t="shared" si="11"/>
        <v>1168</v>
      </c>
      <c r="W183" s="1" t="s">
        <v>44</v>
      </c>
      <c r="X183" s="1" t="s">
        <v>34</v>
      </c>
      <c r="Y183" s="1" t="s">
        <v>124</v>
      </c>
    </row>
    <row r="184" spans="1:25" x14ac:dyDescent="0.3">
      <c r="A184" s="1" t="s">
        <v>480</v>
      </c>
      <c r="B184" s="1" t="s">
        <v>292</v>
      </c>
      <c r="C184" s="1" t="str">
        <f t="shared" si="8"/>
        <v>June</v>
      </c>
      <c r="D184" s="1" t="s">
        <v>89</v>
      </c>
      <c r="E184" s="1" t="s">
        <v>481</v>
      </c>
      <c r="F184" s="1" t="s">
        <v>25</v>
      </c>
      <c r="G184" s="1">
        <v>38</v>
      </c>
      <c r="H184" s="1" t="s">
        <v>52</v>
      </c>
      <c r="I184" s="1" t="s">
        <v>52</v>
      </c>
      <c r="J184" s="1" t="s">
        <v>28</v>
      </c>
      <c r="K184" s="1" t="s">
        <v>29</v>
      </c>
      <c r="L184" s="1" t="s">
        <v>29</v>
      </c>
      <c r="M184" s="1" t="s">
        <v>55</v>
      </c>
      <c r="N184" s="1" t="s">
        <v>56</v>
      </c>
      <c r="O184" s="1" t="s">
        <v>71</v>
      </c>
      <c r="P184" s="1">
        <v>5</v>
      </c>
      <c r="Q184" s="1">
        <v>1081</v>
      </c>
      <c r="R184" s="1">
        <v>1330</v>
      </c>
      <c r="S184" s="1">
        <v>20</v>
      </c>
      <c r="T184" s="1">
        <f t="shared" si="9"/>
        <v>5320</v>
      </c>
      <c r="U184" s="1">
        <f t="shared" si="10"/>
        <v>5405</v>
      </c>
      <c r="V184" s="1">
        <f t="shared" si="11"/>
        <v>-85</v>
      </c>
      <c r="W184" s="1" t="s">
        <v>44</v>
      </c>
      <c r="X184" s="1" t="s">
        <v>34</v>
      </c>
      <c r="Y184" s="1" t="s">
        <v>46</v>
      </c>
    </row>
    <row r="185" spans="1:25" x14ac:dyDescent="0.3">
      <c r="A185" s="1" t="s">
        <v>482</v>
      </c>
      <c r="B185" s="1" t="s">
        <v>483</v>
      </c>
      <c r="C185" s="1" t="str">
        <f t="shared" si="8"/>
        <v>December</v>
      </c>
      <c r="D185" s="1" t="s">
        <v>78</v>
      </c>
      <c r="E185" s="1" t="s">
        <v>244</v>
      </c>
      <c r="F185" s="1" t="s">
        <v>51</v>
      </c>
      <c r="G185" s="1">
        <v>32</v>
      </c>
      <c r="H185" s="1" t="s">
        <v>91</v>
      </c>
      <c r="I185" s="1" t="s">
        <v>92</v>
      </c>
      <c r="J185" s="1" t="s">
        <v>80</v>
      </c>
      <c r="K185" s="1" t="s">
        <v>117</v>
      </c>
      <c r="L185" s="1" t="s">
        <v>117</v>
      </c>
      <c r="M185" s="1" t="s">
        <v>65</v>
      </c>
      <c r="N185" s="1" t="s">
        <v>31</v>
      </c>
      <c r="O185" s="1" t="s">
        <v>32</v>
      </c>
      <c r="P185" s="1">
        <v>1</v>
      </c>
      <c r="Q185" s="1">
        <v>1258</v>
      </c>
      <c r="R185" s="1">
        <v>1541</v>
      </c>
      <c r="S185" s="1">
        <v>10</v>
      </c>
      <c r="T185" s="1">
        <f t="shared" si="9"/>
        <v>1386.9</v>
      </c>
      <c r="U185" s="1">
        <f t="shared" si="10"/>
        <v>1258</v>
      </c>
      <c r="V185" s="1">
        <f t="shared" si="11"/>
        <v>128.90000000000009</v>
      </c>
      <c r="W185" s="1" t="s">
        <v>66</v>
      </c>
      <c r="X185" s="1" t="s">
        <v>45</v>
      </c>
      <c r="Y185" s="1" t="s">
        <v>35</v>
      </c>
    </row>
    <row r="186" spans="1:25" x14ac:dyDescent="0.3">
      <c r="A186" s="1" t="s">
        <v>484</v>
      </c>
      <c r="B186" s="1" t="s">
        <v>485</v>
      </c>
      <c r="C186" s="1" t="str">
        <f t="shared" si="8"/>
        <v>May</v>
      </c>
      <c r="D186" s="1" t="s">
        <v>127</v>
      </c>
      <c r="E186" s="1" t="s">
        <v>276</v>
      </c>
      <c r="F186" s="1" t="s">
        <v>25</v>
      </c>
      <c r="G186" s="1">
        <v>45</v>
      </c>
      <c r="H186" s="1" t="s">
        <v>91</v>
      </c>
      <c r="I186" s="1" t="s">
        <v>92</v>
      </c>
      <c r="J186" s="1" t="s">
        <v>53</v>
      </c>
      <c r="K186" s="1" t="s">
        <v>64</v>
      </c>
      <c r="L186" s="1" t="s">
        <v>64</v>
      </c>
      <c r="M186" s="1" t="s">
        <v>82</v>
      </c>
      <c r="N186" s="1" t="s">
        <v>31</v>
      </c>
      <c r="O186" s="1" t="s">
        <v>57</v>
      </c>
      <c r="P186" s="1">
        <v>5</v>
      </c>
      <c r="Q186" s="1">
        <v>594</v>
      </c>
      <c r="R186" s="1">
        <v>1267</v>
      </c>
      <c r="S186" s="1">
        <v>20</v>
      </c>
      <c r="T186" s="1">
        <f t="shared" si="9"/>
        <v>5068</v>
      </c>
      <c r="U186" s="1">
        <f t="shared" si="10"/>
        <v>2970</v>
      </c>
      <c r="V186" s="1">
        <f t="shared" si="11"/>
        <v>2098</v>
      </c>
      <c r="W186" s="1" t="s">
        <v>33</v>
      </c>
      <c r="X186" s="1" t="s">
        <v>45</v>
      </c>
      <c r="Y186" s="1" t="s">
        <v>35</v>
      </c>
    </row>
    <row r="187" spans="1:25" x14ac:dyDescent="0.3">
      <c r="A187" s="1" t="s">
        <v>486</v>
      </c>
      <c r="B187" s="1" t="s">
        <v>59</v>
      </c>
      <c r="C187" s="1" t="str">
        <f t="shared" si="8"/>
        <v>May</v>
      </c>
      <c r="D187" s="1" t="s">
        <v>487</v>
      </c>
      <c r="E187" s="1" t="s">
        <v>209</v>
      </c>
      <c r="F187" s="1" t="s">
        <v>25</v>
      </c>
      <c r="G187" s="1">
        <v>42</v>
      </c>
      <c r="H187" s="1" t="s">
        <v>40</v>
      </c>
      <c r="I187" s="1" t="s">
        <v>41</v>
      </c>
      <c r="J187" s="1" t="s">
        <v>28</v>
      </c>
      <c r="K187" s="1" t="s">
        <v>29</v>
      </c>
      <c r="L187" s="1" t="s">
        <v>29</v>
      </c>
      <c r="M187" s="1" t="s">
        <v>86</v>
      </c>
      <c r="N187" s="1" t="s">
        <v>31</v>
      </c>
      <c r="O187" s="1" t="s">
        <v>71</v>
      </c>
      <c r="P187" s="1">
        <v>4</v>
      </c>
      <c r="Q187" s="1">
        <v>754</v>
      </c>
      <c r="R187" s="1">
        <v>970</v>
      </c>
      <c r="S187" s="1">
        <v>20</v>
      </c>
      <c r="T187" s="1">
        <f t="shared" si="9"/>
        <v>3104</v>
      </c>
      <c r="U187" s="1">
        <f t="shared" si="10"/>
        <v>3016</v>
      </c>
      <c r="V187" s="1">
        <f t="shared" si="11"/>
        <v>88</v>
      </c>
      <c r="W187" s="1" t="s">
        <v>33</v>
      </c>
      <c r="X187" s="1" t="s">
        <v>45</v>
      </c>
      <c r="Y187" s="1" t="s">
        <v>35</v>
      </c>
    </row>
    <row r="188" spans="1:25" x14ac:dyDescent="0.3">
      <c r="A188" s="1" t="s">
        <v>488</v>
      </c>
      <c r="B188" s="1" t="s">
        <v>142</v>
      </c>
      <c r="C188" s="1" t="str">
        <f t="shared" si="8"/>
        <v>August</v>
      </c>
      <c r="D188" s="1" t="s">
        <v>68</v>
      </c>
      <c r="E188" s="1" t="s">
        <v>219</v>
      </c>
      <c r="F188" s="1" t="s">
        <v>51</v>
      </c>
      <c r="G188" s="1">
        <v>49</v>
      </c>
      <c r="H188" s="1" t="s">
        <v>52</v>
      </c>
      <c r="I188" s="1" t="s">
        <v>52</v>
      </c>
      <c r="J188" s="1" t="s">
        <v>53</v>
      </c>
      <c r="K188" s="1" t="s">
        <v>64</v>
      </c>
      <c r="L188" s="1" t="s">
        <v>64</v>
      </c>
      <c r="M188" s="1" t="s">
        <v>65</v>
      </c>
      <c r="N188" s="1" t="s">
        <v>70</v>
      </c>
      <c r="O188" s="1" t="s">
        <v>57</v>
      </c>
      <c r="P188" s="1">
        <v>5</v>
      </c>
      <c r="Q188" s="1">
        <v>584</v>
      </c>
      <c r="R188" s="1">
        <v>1350</v>
      </c>
      <c r="S188" s="1">
        <v>15</v>
      </c>
      <c r="T188" s="1">
        <f t="shared" si="9"/>
        <v>5737.5</v>
      </c>
      <c r="U188" s="1">
        <f t="shared" si="10"/>
        <v>2920</v>
      </c>
      <c r="V188" s="1">
        <f t="shared" si="11"/>
        <v>2817.5</v>
      </c>
      <c r="W188" s="1" t="s">
        <v>33</v>
      </c>
      <c r="X188" s="1" t="s">
        <v>45</v>
      </c>
      <c r="Y188" s="1" t="s">
        <v>35</v>
      </c>
    </row>
    <row r="189" spans="1:25" x14ac:dyDescent="0.3">
      <c r="A189" s="1" t="s">
        <v>489</v>
      </c>
      <c r="B189" s="1" t="s">
        <v>490</v>
      </c>
      <c r="C189" s="1" t="str">
        <f t="shared" si="8"/>
        <v>October</v>
      </c>
      <c r="D189" s="1" t="s">
        <v>78</v>
      </c>
      <c r="E189" s="1" t="s">
        <v>99</v>
      </c>
      <c r="F189" s="1" t="s">
        <v>51</v>
      </c>
      <c r="G189" s="1">
        <v>19</v>
      </c>
      <c r="H189" s="1" t="s">
        <v>26</v>
      </c>
      <c r="I189" s="1" t="s">
        <v>27</v>
      </c>
      <c r="J189" s="1" t="s">
        <v>53</v>
      </c>
      <c r="K189" s="1" t="s">
        <v>64</v>
      </c>
      <c r="L189" s="1" t="s">
        <v>64</v>
      </c>
      <c r="M189" s="1" t="s">
        <v>82</v>
      </c>
      <c r="N189" s="1" t="s">
        <v>56</v>
      </c>
      <c r="O189" s="1" t="s">
        <v>113</v>
      </c>
      <c r="P189" s="1">
        <v>2</v>
      </c>
      <c r="Q189" s="1">
        <v>1265</v>
      </c>
      <c r="R189" s="1">
        <v>1702</v>
      </c>
      <c r="S189" s="1">
        <v>5</v>
      </c>
      <c r="T189" s="1">
        <f t="shared" si="9"/>
        <v>3233.7999999999997</v>
      </c>
      <c r="U189" s="1">
        <f t="shared" si="10"/>
        <v>2530</v>
      </c>
      <c r="V189" s="1">
        <f t="shared" si="11"/>
        <v>703.79999999999973</v>
      </c>
      <c r="W189" s="1" t="s">
        <v>66</v>
      </c>
      <c r="X189" s="1" t="s">
        <v>34</v>
      </c>
      <c r="Y189" s="1" t="s">
        <v>35</v>
      </c>
    </row>
    <row r="190" spans="1:25" x14ac:dyDescent="0.3">
      <c r="A190" s="1" t="s">
        <v>491</v>
      </c>
      <c r="B190" s="1" t="s">
        <v>455</v>
      </c>
      <c r="C190" s="1" t="str">
        <f t="shared" si="8"/>
        <v>October</v>
      </c>
      <c r="D190" s="1" t="s">
        <v>60</v>
      </c>
      <c r="E190" s="1" t="s">
        <v>143</v>
      </c>
      <c r="F190" s="1" t="s">
        <v>25</v>
      </c>
      <c r="G190" s="1">
        <v>52</v>
      </c>
      <c r="H190" s="1" t="s">
        <v>62</v>
      </c>
      <c r="I190" s="1" t="s">
        <v>63</v>
      </c>
      <c r="J190" s="1" t="s">
        <v>53</v>
      </c>
      <c r="K190" s="1" t="s">
        <v>64</v>
      </c>
      <c r="L190" s="1" t="s">
        <v>64</v>
      </c>
      <c r="M190" s="1" t="s">
        <v>65</v>
      </c>
      <c r="N190" s="1" t="s">
        <v>31</v>
      </c>
      <c r="O190" s="1" t="s">
        <v>113</v>
      </c>
      <c r="P190" s="1">
        <v>2</v>
      </c>
      <c r="Q190" s="1">
        <v>1284</v>
      </c>
      <c r="R190" s="1">
        <v>1719</v>
      </c>
      <c r="S190" s="1">
        <v>0</v>
      </c>
      <c r="T190" s="1">
        <f t="shared" si="9"/>
        <v>3438</v>
      </c>
      <c r="U190" s="1">
        <f t="shared" si="10"/>
        <v>2568</v>
      </c>
      <c r="V190" s="1">
        <f t="shared" si="11"/>
        <v>870</v>
      </c>
      <c r="W190" s="1" t="s">
        <v>44</v>
      </c>
      <c r="X190" s="1" t="s">
        <v>45</v>
      </c>
      <c r="Y190" s="1" t="s">
        <v>35</v>
      </c>
    </row>
    <row r="191" spans="1:25" x14ac:dyDescent="0.3">
      <c r="A191" s="1" t="s">
        <v>492</v>
      </c>
      <c r="B191" s="1" t="s">
        <v>493</v>
      </c>
      <c r="C191" s="1" t="str">
        <f t="shared" si="8"/>
        <v>November</v>
      </c>
      <c r="D191" s="1" t="s">
        <v>68</v>
      </c>
      <c r="E191" s="1" t="s">
        <v>244</v>
      </c>
      <c r="F191" s="1" t="s">
        <v>51</v>
      </c>
      <c r="G191" s="1">
        <v>35</v>
      </c>
      <c r="H191" s="1" t="s">
        <v>52</v>
      </c>
      <c r="I191" s="1" t="s">
        <v>52</v>
      </c>
      <c r="J191" s="1" t="s">
        <v>28</v>
      </c>
      <c r="K191" s="1" t="s">
        <v>29</v>
      </c>
      <c r="L191" s="1" t="s">
        <v>29</v>
      </c>
      <c r="M191" s="1" t="s">
        <v>65</v>
      </c>
      <c r="N191" s="1" t="s">
        <v>42</v>
      </c>
      <c r="O191" s="1" t="s">
        <v>57</v>
      </c>
      <c r="P191" s="1">
        <v>3</v>
      </c>
      <c r="Q191" s="1">
        <v>663</v>
      </c>
      <c r="R191" s="1">
        <v>1239</v>
      </c>
      <c r="S191" s="1">
        <v>0</v>
      </c>
      <c r="T191" s="1">
        <f t="shared" si="9"/>
        <v>3717</v>
      </c>
      <c r="U191" s="1">
        <f t="shared" si="10"/>
        <v>1989</v>
      </c>
      <c r="V191" s="1">
        <f t="shared" si="11"/>
        <v>1728</v>
      </c>
      <c r="W191" s="1" t="s">
        <v>33</v>
      </c>
      <c r="X191" s="1" t="s">
        <v>34</v>
      </c>
      <c r="Y191" s="1" t="s">
        <v>124</v>
      </c>
    </row>
    <row r="192" spans="1:25" x14ac:dyDescent="0.3">
      <c r="A192" s="1" t="s">
        <v>494</v>
      </c>
      <c r="B192" s="1" t="s">
        <v>495</v>
      </c>
      <c r="C192" s="1" t="str">
        <f t="shared" si="8"/>
        <v>December</v>
      </c>
      <c r="D192" s="1" t="s">
        <v>60</v>
      </c>
      <c r="E192" s="1" t="s">
        <v>442</v>
      </c>
      <c r="F192" s="1" t="s">
        <v>25</v>
      </c>
      <c r="G192" s="1">
        <v>47</v>
      </c>
      <c r="H192" s="1" t="s">
        <v>26</v>
      </c>
      <c r="I192" s="1" t="s">
        <v>27</v>
      </c>
      <c r="J192" s="1" t="s">
        <v>80</v>
      </c>
      <c r="K192" s="1" t="s">
        <v>81</v>
      </c>
      <c r="L192" s="1" t="s">
        <v>81</v>
      </c>
      <c r="M192" s="1" t="s">
        <v>86</v>
      </c>
      <c r="N192" s="1" t="s">
        <v>31</v>
      </c>
      <c r="O192" s="1" t="s">
        <v>113</v>
      </c>
      <c r="P192" s="1">
        <v>4</v>
      </c>
      <c r="Q192" s="1">
        <v>313</v>
      </c>
      <c r="R192" s="1">
        <v>554</v>
      </c>
      <c r="S192" s="1">
        <v>15</v>
      </c>
      <c r="T192" s="1">
        <f t="shared" si="9"/>
        <v>1883.6</v>
      </c>
      <c r="U192" s="1">
        <f t="shared" si="10"/>
        <v>1252</v>
      </c>
      <c r="V192" s="1">
        <f t="shared" si="11"/>
        <v>631.59999999999991</v>
      </c>
      <c r="W192" s="1" t="s">
        <v>33</v>
      </c>
      <c r="X192" s="1" t="s">
        <v>45</v>
      </c>
      <c r="Y192" s="1" t="s">
        <v>35</v>
      </c>
    </row>
    <row r="193" spans="1:25" x14ac:dyDescent="0.3">
      <c r="A193" s="1" t="s">
        <v>496</v>
      </c>
      <c r="B193" s="1" t="s">
        <v>497</v>
      </c>
      <c r="C193" s="1" t="str">
        <f t="shared" si="8"/>
        <v>July</v>
      </c>
      <c r="D193" s="1" t="s">
        <v>68</v>
      </c>
      <c r="E193" s="1" t="s">
        <v>195</v>
      </c>
      <c r="F193" s="1" t="s">
        <v>25</v>
      </c>
      <c r="G193" s="1">
        <v>35</v>
      </c>
      <c r="H193" s="1" t="s">
        <v>62</v>
      </c>
      <c r="I193" s="1" t="s">
        <v>63</v>
      </c>
      <c r="J193" s="1" t="s">
        <v>80</v>
      </c>
      <c r="K193" s="1" t="s">
        <v>81</v>
      </c>
      <c r="L193" s="1" t="s">
        <v>81</v>
      </c>
      <c r="M193" s="1" t="s">
        <v>30</v>
      </c>
      <c r="N193" s="1" t="s">
        <v>56</v>
      </c>
      <c r="O193" s="1" t="s">
        <v>32</v>
      </c>
      <c r="P193" s="1">
        <v>2</v>
      </c>
      <c r="Q193" s="1">
        <v>500</v>
      </c>
      <c r="R193" s="1">
        <v>765</v>
      </c>
      <c r="S193" s="1">
        <v>15</v>
      </c>
      <c r="T193" s="1">
        <f t="shared" si="9"/>
        <v>1300.5</v>
      </c>
      <c r="U193" s="1">
        <f t="shared" si="10"/>
        <v>1000</v>
      </c>
      <c r="V193" s="1">
        <f t="shared" si="11"/>
        <v>300.5</v>
      </c>
      <c r="W193" s="1" t="s">
        <v>44</v>
      </c>
      <c r="X193" s="1" t="s">
        <v>45</v>
      </c>
      <c r="Y193" s="1" t="s">
        <v>35</v>
      </c>
    </row>
    <row r="194" spans="1:25" x14ac:dyDescent="0.3">
      <c r="A194" s="1" t="s">
        <v>498</v>
      </c>
      <c r="B194" s="1" t="s">
        <v>499</v>
      </c>
      <c r="C194" s="1" t="str">
        <f t="shared" si="8"/>
        <v>May</v>
      </c>
      <c r="D194" s="1" t="s">
        <v>127</v>
      </c>
      <c r="E194" s="1" t="s">
        <v>500</v>
      </c>
      <c r="F194" s="1" t="s">
        <v>25</v>
      </c>
      <c r="G194" s="1">
        <v>36</v>
      </c>
      <c r="H194" s="1" t="s">
        <v>40</v>
      </c>
      <c r="I194" s="1" t="s">
        <v>41</v>
      </c>
      <c r="J194" s="1" t="s">
        <v>28</v>
      </c>
      <c r="K194" s="1" t="s">
        <v>100</v>
      </c>
      <c r="L194" s="1" t="s">
        <v>100</v>
      </c>
      <c r="M194" s="1" t="s">
        <v>30</v>
      </c>
      <c r="N194" s="1" t="s">
        <v>31</v>
      </c>
      <c r="O194" s="1" t="s">
        <v>71</v>
      </c>
      <c r="P194" s="1">
        <v>5</v>
      </c>
      <c r="Q194" s="1">
        <v>590</v>
      </c>
      <c r="R194" s="1">
        <v>1053</v>
      </c>
      <c r="S194" s="1">
        <v>0</v>
      </c>
      <c r="T194" s="1">
        <f t="shared" si="9"/>
        <v>5265</v>
      </c>
      <c r="U194" s="1">
        <f t="shared" si="10"/>
        <v>2950</v>
      </c>
      <c r="V194" s="1">
        <f t="shared" si="11"/>
        <v>2315</v>
      </c>
      <c r="W194" s="1" t="s">
        <v>44</v>
      </c>
      <c r="X194" s="1" t="s">
        <v>34</v>
      </c>
      <c r="Y194" s="1" t="s">
        <v>124</v>
      </c>
    </row>
    <row r="195" spans="1:25" x14ac:dyDescent="0.3">
      <c r="A195" s="1" t="s">
        <v>501</v>
      </c>
      <c r="B195" s="1" t="s">
        <v>328</v>
      </c>
      <c r="C195" s="1" t="str">
        <f t="shared" ref="C195:C201" si="12">TEXT(B195, "MMMM")</f>
        <v>April</v>
      </c>
      <c r="D195" s="1" t="s">
        <v>78</v>
      </c>
      <c r="E195" s="1" t="s">
        <v>266</v>
      </c>
      <c r="F195" s="1" t="s">
        <v>51</v>
      </c>
      <c r="G195" s="1">
        <v>33</v>
      </c>
      <c r="H195" s="1" t="s">
        <v>40</v>
      </c>
      <c r="I195" s="1" t="s">
        <v>41</v>
      </c>
      <c r="J195" s="1" t="s">
        <v>28</v>
      </c>
      <c r="K195" s="1" t="s">
        <v>100</v>
      </c>
      <c r="L195" s="1" t="s">
        <v>100</v>
      </c>
      <c r="M195" s="1" t="s">
        <v>82</v>
      </c>
      <c r="N195" s="1" t="s">
        <v>56</v>
      </c>
      <c r="O195" s="1" t="s">
        <v>43</v>
      </c>
      <c r="P195" s="1">
        <v>4</v>
      </c>
      <c r="Q195" s="1">
        <v>1367</v>
      </c>
      <c r="R195" s="1">
        <v>1567</v>
      </c>
      <c r="S195" s="1">
        <v>15</v>
      </c>
      <c r="T195" s="1">
        <f t="shared" ref="T195:T201" si="13">P195*R195*(1-S195/100)</f>
        <v>5327.8</v>
      </c>
      <c r="U195" s="1">
        <f t="shared" ref="U195:U201" si="14">P195*Q195</f>
        <v>5468</v>
      </c>
      <c r="V195" s="1">
        <f t="shared" ref="V195:V201" si="15">T195-U195</f>
        <v>-140.19999999999982</v>
      </c>
      <c r="W195" s="1" t="s">
        <v>44</v>
      </c>
      <c r="X195" s="1" t="s">
        <v>45</v>
      </c>
      <c r="Y195" s="1" t="s">
        <v>46</v>
      </c>
    </row>
    <row r="196" spans="1:25" x14ac:dyDescent="0.3">
      <c r="A196" s="1" t="s">
        <v>502</v>
      </c>
      <c r="B196" s="1" t="s">
        <v>503</v>
      </c>
      <c r="C196" s="1" t="str">
        <f t="shared" si="12"/>
        <v>January</v>
      </c>
      <c r="D196" s="1" t="s">
        <v>74</v>
      </c>
      <c r="E196" s="1" t="s">
        <v>148</v>
      </c>
      <c r="F196" s="1" t="s">
        <v>25</v>
      </c>
      <c r="G196" s="1">
        <v>24</v>
      </c>
      <c r="H196" s="1" t="s">
        <v>91</v>
      </c>
      <c r="I196" s="1" t="s">
        <v>92</v>
      </c>
      <c r="J196" s="1" t="s">
        <v>53</v>
      </c>
      <c r="K196" s="1" t="s">
        <v>54</v>
      </c>
      <c r="L196" s="1" t="s">
        <v>54</v>
      </c>
      <c r="M196" s="1" t="s">
        <v>30</v>
      </c>
      <c r="N196" s="1" t="s">
        <v>31</v>
      </c>
      <c r="O196" s="1" t="s">
        <v>32</v>
      </c>
      <c r="P196" s="1">
        <v>2</v>
      </c>
      <c r="Q196" s="1">
        <v>620</v>
      </c>
      <c r="R196" s="1">
        <v>1180</v>
      </c>
      <c r="S196" s="1">
        <v>20</v>
      </c>
      <c r="T196" s="1">
        <f t="shared" si="13"/>
        <v>1888</v>
      </c>
      <c r="U196" s="1">
        <f t="shared" si="14"/>
        <v>1240</v>
      </c>
      <c r="V196" s="1">
        <f t="shared" si="15"/>
        <v>648</v>
      </c>
      <c r="W196" s="1" t="s">
        <v>44</v>
      </c>
      <c r="X196" s="1" t="s">
        <v>34</v>
      </c>
      <c r="Y196" s="1" t="s">
        <v>124</v>
      </c>
    </row>
    <row r="197" spans="1:25" x14ac:dyDescent="0.3">
      <c r="A197" s="1" t="s">
        <v>504</v>
      </c>
      <c r="B197" s="1" t="s">
        <v>495</v>
      </c>
      <c r="C197" s="1" t="str">
        <f t="shared" si="12"/>
        <v>December</v>
      </c>
      <c r="D197" s="1" t="s">
        <v>38</v>
      </c>
      <c r="E197" s="1" t="s">
        <v>505</v>
      </c>
      <c r="F197" s="1" t="s">
        <v>25</v>
      </c>
      <c r="G197" s="1">
        <v>43</v>
      </c>
      <c r="H197" s="1" t="s">
        <v>91</v>
      </c>
      <c r="I197" s="1" t="s">
        <v>92</v>
      </c>
      <c r="J197" s="1" t="s">
        <v>28</v>
      </c>
      <c r="K197" s="1" t="s">
        <v>29</v>
      </c>
      <c r="L197" s="1" t="s">
        <v>29</v>
      </c>
      <c r="M197" s="1" t="s">
        <v>65</v>
      </c>
      <c r="N197" s="1" t="s">
        <v>31</v>
      </c>
      <c r="O197" s="1" t="s">
        <v>71</v>
      </c>
      <c r="P197" s="1">
        <v>1</v>
      </c>
      <c r="Q197" s="1">
        <v>1328</v>
      </c>
      <c r="R197" s="1">
        <v>1649</v>
      </c>
      <c r="S197" s="1">
        <v>10</v>
      </c>
      <c r="T197" s="1">
        <f t="shared" si="13"/>
        <v>1484.1000000000001</v>
      </c>
      <c r="U197" s="1">
        <f t="shared" si="14"/>
        <v>1328</v>
      </c>
      <c r="V197" s="1">
        <f t="shared" si="15"/>
        <v>156.10000000000014</v>
      </c>
      <c r="W197" s="1" t="s">
        <v>44</v>
      </c>
      <c r="X197" s="1" t="s">
        <v>45</v>
      </c>
      <c r="Y197" s="1" t="s">
        <v>46</v>
      </c>
    </row>
    <row r="198" spans="1:25" x14ac:dyDescent="0.3">
      <c r="A198" s="1" t="s">
        <v>506</v>
      </c>
      <c r="B198" s="1" t="s">
        <v>483</v>
      </c>
      <c r="C198" s="1" t="str">
        <f t="shared" si="12"/>
        <v>December</v>
      </c>
      <c r="D198" s="1" t="s">
        <v>68</v>
      </c>
      <c r="E198" s="1" t="s">
        <v>276</v>
      </c>
      <c r="F198" s="1" t="s">
        <v>25</v>
      </c>
      <c r="G198" s="1">
        <v>33</v>
      </c>
      <c r="H198" s="1" t="s">
        <v>52</v>
      </c>
      <c r="I198" s="1" t="s">
        <v>52</v>
      </c>
      <c r="J198" s="1" t="s">
        <v>80</v>
      </c>
      <c r="K198" s="1" t="s">
        <v>81</v>
      </c>
      <c r="L198" s="1" t="s">
        <v>81</v>
      </c>
      <c r="M198" s="1" t="s">
        <v>65</v>
      </c>
      <c r="N198" s="1" t="s">
        <v>56</v>
      </c>
      <c r="O198" s="1" t="s">
        <v>113</v>
      </c>
      <c r="P198" s="1">
        <v>1</v>
      </c>
      <c r="Q198" s="1">
        <v>430</v>
      </c>
      <c r="R198" s="1">
        <v>999</v>
      </c>
      <c r="S198" s="1">
        <v>20</v>
      </c>
      <c r="T198" s="1">
        <f t="shared" si="13"/>
        <v>799.2</v>
      </c>
      <c r="U198" s="1">
        <f t="shared" si="14"/>
        <v>430</v>
      </c>
      <c r="V198" s="1">
        <f t="shared" si="15"/>
        <v>369.20000000000005</v>
      </c>
      <c r="W198" s="1" t="s">
        <v>33</v>
      </c>
      <c r="X198" s="1" t="s">
        <v>34</v>
      </c>
      <c r="Y198" s="1" t="s">
        <v>35</v>
      </c>
    </row>
    <row r="199" spans="1:25" x14ac:dyDescent="0.3">
      <c r="A199" s="1" t="s">
        <v>507</v>
      </c>
      <c r="B199" s="1" t="s">
        <v>508</v>
      </c>
      <c r="C199" s="1" t="str">
        <f t="shared" si="12"/>
        <v>May</v>
      </c>
      <c r="D199" s="1" t="s">
        <v>98</v>
      </c>
      <c r="E199" s="1" t="s">
        <v>109</v>
      </c>
      <c r="F199" s="1" t="s">
        <v>51</v>
      </c>
      <c r="G199" s="1">
        <v>38</v>
      </c>
      <c r="H199" s="1" t="s">
        <v>52</v>
      </c>
      <c r="I199" s="1" t="s">
        <v>52</v>
      </c>
      <c r="J199" s="1" t="s">
        <v>53</v>
      </c>
      <c r="K199" s="1" t="s">
        <v>54</v>
      </c>
      <c r="L199" s="1" t="s">
        <v>54</v>
      </c>
      <c r="M199" s="1" t="s">
        <v>82</v>
      </c>
      <c r="N199" s="1" t="s">
        <v>56</v>
      </c>
      <c r="O199" s="1" t="s">
        <v>43</v>
      </c>
      <c r="P199" s="1">
        <v>4</v>
      </c>
      <c r="Q199" s="1">
        <v>514</v>
      </c>
      <c r="R199" s="1">
        <v>927</v>
      </c>
      <c r="S199" s="1">
        <v>15</v>
      </c>
      <c r="T199" s="1">
        <f t="shared" si="13"/>
        <v>3151.7999999999997</v>
      </c>
      <c r="U199" s="1">
        <f t="shared" si="14"/>
        <v>2056</v>
      </c>
      <c r="V199" s="1">
        <f t="shared" si="15"/>
        <v>1095.7999999999997</v>
      </c>
      <c r="W199" s="1" t="s">
        <v>33</v>
      </c>
      <c r="X199" s="1" t="s">
        <v>45</v>
      </c>
      <c r="Y199" s="1" t="s">
        <v>35</v>
      </c>
    </row>
    <row r="200" spans="1:25" x14ac:dyDescent="0.3">
      <c r="A200" s="1" t="s">
        <v>509</v>
      </c>
      <c r="B200" s="1" t="s">
        <v>510</v>
      </c>
      <c r="C200" s="1" t="str">
        <f t="shared" si="12"/>
        <v>June</v>
      </c>
      <c r="D200" s="1" t="s">
        <v>127</v>
      </c>
      <c r="E200" s="1" t="s">
        <v>154</v>
      </c>
      <c r="F200" s="1" t="s">
        <v>51</v>
      </c>
      <c r="G200" s="1">
        <v>43</v>
      </c>
      <c r="H200" s="1" t="s">
        <v>40</v>
      </c>
      <c r="I200" s="1" t="s">
        <v>41</v>
      </c>
      <c r="J200" s="1" t="s">
        <v>80</v>
      </c>
      <c r="K200" s="1" t="s">
        <v>81</v>
      </c>
      <c r="L200" s="1" t="s">
        <v>81</v>
      </c>
      <c r="M200" s="1" t="s">
        <v>65</v>
      </c>
      <c r="N200" s="1" t="s">
        <v>31</v>
      </c>
      <c r="O200" s="1" t="s">
        <v>57</v>
      </c>
      <c r="P200" s="1">
        <v>2</v>
      </c>
      <c r="Q200" s="1">
        <v>474</v>
      </c>
      <c r="R200" s="1">
        <v>677</v>
      </c>
      <c r="S200" s="1">
        <v>0</v>
      </c>
      <c r="T200" s="1">
        <f t="shared" si="13"/>
        <v>1354</v>
      </c>
      <c r="U200" s="1">
        <f t="shared" si="14"/>
        <v>948</v>
      </c>
      <c r="V200" s="1">
        <f t="shared" si="15"/>
        <v>406</v>
      </c>
      <c r="W200" s="1" t="s">
        <v>33</v>
      </c>
      <c r="X200" s="1" t="s">
        <v>45</v>
      </c>
      <c r="Y200" s="1" t="s">
        <v>124</v>
      </c>
    </row>
    <row r="201" spans="1:25" x14ac:dyDescent="0.3">
      <c r="A201" s="1" t="s">
        <v>511</v>
      </c>
      <c r="B201" s="1" t="s">
        <v>512</v>
      </c>
      <c r="C201" s="1" t="str">
        <f t="shared" si="12"/>
        <v>May</v>
      </c>
      <c r="D201" s="1" t="s">
        <v>74</v>
      </c>
      <c r="E201" s="1" t="s">
        <v>500</v>
      </c>
      <c r="F201" s="1" t="s">
        <v>51</v>
      </c>
      <c r="G201" s="1">
        <v>21</v>
      </c>
      <c r="H201" s="1" t="s">
        <v>40</v>
      </c>
      <c r="I201" s="1" t="s">
        <v>41</v>
      </c>
      <c r="J201" s="1" t="s">
        <v>28</v>
      </c>
      <c r="K201" s="1" t="s">
        <v>100</v>
      </c>
      <c r="L201" s="1" t="s">
        <v>100</v>
      </c>
      <c r="M201" s="1" t="s">
        <v>55</v>
      </c>
      <c r="N201" s="1" t="s">
        <v>42</v>
      </c>
      <c r="O201" s="1" t="s">
        <v>71</v>
      </c>
      <c r="P201" s="1">
        <v>1</v>
      </c>
      <c r="Q201" s="1">
        <v>443</v>
      </c>
      <c r="R201" s="1">
        <v>864</v>
      </c>
      <c r="S201" s="1">
        <v>20</v>
      </c>
      <c r="T201" s="1">
        <f t="shared" si="13"/>
        <v>691.2</v>
      </c>
      <c r="U201" s="1">
        <f t="shared" si="14"/>
        <v>443</v>
      </c>
      <c r="V201" s="1">
        <f t="shared" si="15"/>
        <v>248.20000000000005</v>
      </c>
      <c r="W201" s="1" t="s">
        <v>44</v>
      </c>
      <c r="X201" s="1" t="s">
        <v>34</v>
      </c>
      <c r="Y201" s="1"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F1B6-C697-4C37-97E9-053C763B3D92}">
  <dimension ref="A3:P9"/>
  <sheetViews>
    <sheetView workbookViewId="0">
      <selection activeCell="Q22" sqref="Q22"/>
    </sheetView>
  </sheetViews>
  <sheetFormatPr defaultRowHeight="14.4" x14ac:dyDescent="0.3"/>
  <cols>
    <col min="1" max="1" width="8.33203125" bestFit="1" customWidth="1"/>
    <col min="2" max="3" width="11.6640625" bestFit="1" customWidth="1"/>
  </cols>
  <sheetData>
    <row r="3" spans="1:16" x14ac:dyDescent="0.3">
      <c r="A3" s="5" t="s">
        <v>11</v>
      </c>
      <c r="B3" t="s">
        <v>523</v>
      </c>
    </row>
    <row r="4" spans="1:16" x14ac:dyDescent="0.3">
      <c r="A4" t="s">
        <v>55</v>
      </c>
      <c r="B4" s="3">
        <v>164298.50000000003</v>
      </c>
    </row>
    <row r="5" spans="1:16" x14ac:dyDescent="0.3">
      <c r="A5" t="s">
        <v>86</v>
      </c>
      <c r="B5" s="3">
        <v>126774</v>
      </c>
    </row>
    <row r="6" spans="1:16" x14ac:dyDescent="0.3">
      <c r="A6" t="s">
        <v>82</v>
      </c>
      <c r="B6" s="3">
        <v>145086.84999999998</v>
      </c>
    </row>
    <row r="7" spans="1:16" x14ac:dyDescent="0.3">
      <c r="A7" t="s">
        <v>65</v>
      </c>
      <c r="B7" s="3">
        <v>160168.70000000001</v>
      </c>
    </row>
    <row r="8" spans="1:16" x14ac:dyDescent="0.3">
      <c r="A8" t="s">
        <v>30</v>
      </c>
      <c r="B8" s="3">
        <v>111277.84999999998</v>
      </c>
    </row>
    <row r="9" spans="1:16" x14ac:dyDescent="0.3">
      <c r="P9" s="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EDF3-1094-4FA8-9F6B-2CD22F471708}">
  <dimension ref="A3:B6"/>
  <sheetViews>
    <sheetView workbookViewId="0">
      <selection activeCell="C16" sqref="C16"/>
    </sheetView>
  </sheetViews>
  <sheetFormatPr defaultRowHeight="14.4" x14ac:dyDescent="0.3"/>
  <cols>
    <col min="1" max="1" width="10.77734375" bestFit="1" customWidth="1"/>
    <col min="2" max="2" width="11.6640625" bestFit="1" customWidth="1"/>
  </cols>
  <sheetData>
    <row r="3" spans="1:2" x14ac:dyDescent="0.3">
      <c r="A3" s="5" t="s">
        <v>8</v>
      </c>
      <c r="B3" t="s">
        <v>523</v>
      </c>
    </row>
    <row r="4" spans="1:2" x14ac:dyDescent="0.3">
      <c r="A4" t="s">
        <v>28</v>
      </c>
      <c r="B4" s="3">
        <v>296225.54999999993</v>
      </c>
    </row>
    <row r="5" spans="1:2" x14ac:dyDescent="0.3">
      <c r="A5" t="s">
        <v>80</v>
      </c>
      <c r="B5" s="3">
        <v>195510.60000000003</v>
      </c>
    </row>
    <row r="6" spans="1:2" x14ac:dyDescent="0.3">
      <c r="A6" t="s">
        <v>53</v>
      </c>
      <c r="B6" s="3">
        <v>215869.74999999997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4FEA6-FF53-4F1B-962F-64535A816789}">
  <dimension ref="A1:R18"/>
  <sheetViews>
    <sheetView tabSelected="1" topLeftCell="A46" zoomScale="64" workbookViewId="0">
      <selection activeCell="AF66" sqref="AF66"/>
    </sheetView>
  </sheetViews>
  <sheetFormatPr defaultRowHeight="14.4" x14ac:dyDescent="0.3"/>
  <cols>
    <col min="1" max="1" width="17.21875" bestFit="1" customWidth="1"/>
    <col min="2" max="2" width="13.44140625" bestFit="1" customWidth="1"/>
  </cols>
  <sheetData>
    <row r="1" spans="1:18" x14ac:dyDescent="0.3">
      <c r="A1" s="2" t="s">
        <v>516</v>
      </c>
      <c r="B1" s="2" t="s">
        <v>517</v>
      </c>
      <c r="E1" s="9" t="s">
        <v>541</v>
      </c>
      <c r="F1" s="9"/>
      <c r="G1" s="9"/>
      <c r="H1" s="9"/>
      <c r="I1" s="9"/>
      <c r="J1" s="9"/>
      <c r="K1" s="9"/>
      <c r="L1" s="9"/>
      <c r="M1" s="9"/>
      <c r="N1" s="9"/>
      <c r="O1" s="9"/>
      <c r="P1" s="9"/>
      <c r="Q1" s="9"/>
    </row>
    <row r="2" spans="1:18" x14ac:dyDescent="0.3">
      <c r="A2" t="s">
        <v>518</v>
      </c>
      <c r="B2" s="4">
        <f>SUM(SalesData!T2:T201)</f>
        <v>707605.90000000014</v>
      </c>
      <c r="E2" s="9"/>
      <c r="F2" s="9"/>
      <c r="G2" s="9"/>
      <c r="H2" s="9"/>
      <c r="I2" s="9"/>
      <c r="J2" s="9"/>
      <c r="K2" s="9"/>
      <c r="L2" s="9"/>
      <c r="M2" s="9"/>
      <c r="N2" s="9"/>
      <c r="O2" s="9"/>
      <c r="P2" s="9"/>
      <c r="Q2" s="9"/>
    </row>
    <row r="3" spans="1:18" x14ac:dyDescent="0.3">
      <c r="A3" t="s">
        <v>519</v>
      </c>
      <c r="B3" s="4">
        <f>SUM(SalesData!U2:U201)</f>
        <v>523381</v>
      </c>
      <c r="E3" s="9"/>
      <c r="F3" s="9"/>
      <c r="G3" s="9"/>
      <c r="H3" s="9"/>
      <c r="I3" s="9"/>
      <c r="J3" s="9"/>
      <c r="K3" s="9"/>
      <c r="L3" s="9"/>
      <c r="M3" s="9"/>
      <c r="N3" s="9"/>
      <c r="O3" s="9"/>
      <c r="P3" s="9"/>
      <c r="Q3" s="9"/>
    </row>
    <row r="4" spans="1:18" x14ac:dyDescent="0.3">
      <c r="A4" t="s">
        <v>520</v>
      </c>
      <c r="B4" s="4">
        <f>SUM(SalesData!V2:V201)</f>
        <v>184224.89999999994</v>
      </c>
      <c r="E4" s="9"/>
      <c r="F4" s="9"/>
      <c r="G4" s="9"/>
      <c r="H4" s="9"/>
      <c r="I4" s="9"/>
      <c r="J4" s="9"/>
      <c r="K4" s="9"/>
      <c r="L4" s="9"/>
      <c r="M4" s="9"/>
      <c r="N4" s="9"/>
      <c r="O4" s="9"/>
      <c r="P4" s="9"/>
      <c r="Q4" s="9"/>
    </row>
    <row r="5" spans="1:18" x14ac:dyDescent="0.3">
      <c r="A5" t="s">
        <v>521</v>
      </c>
      <c r="B5">
        <f>COUNTA(SalesData!A2:A201)</f>
        <v>200</v>
      </c>
      <c r="E5" s="9"/>
      <c r="F5" s="9"/>
      <c r="G5" s="9"/>
      <c r="H5" s="9"/>
      <c r="I5" s="9"/>
      <c r="J5" s="9"/>
      <c r="K5" s="9"/>
      <c r="L5" s="9"/>
      <c r="M5" s="9"/>
      <c r="N5" s="9"/>
      <c r="O5" s="9"/>
      <c r="P5" s="9"/>
      <c r="Q5" s="9"/>
    </row>
    <row r="6" spans="1:18" x14ac:dyDescent="0.3">
      <c r="A6" t="s">
        <v>537</v>
      </c>
      <c r="B6" s="8">
        <f>AVERAGE(SalesData!T2:T201)</f>
        <v>3538.0295000000006</v>
      </c>
      <c r="E6" s="9"/>
      <c r="F6" s="9"/>
      <c r="G6" s="9"/>
      <c r="H6" s="9"/>
      <c r="I6" s="9"/>
      <c r="J6" s="9"/>
      <c r="K6" s="9"/>
      <c r="L6" s="9"/>
      <c r="M6" s="9"/>
      <c r="N6" s="9"/>
      <c r="O6" s="9"/>
      <c r="P6" s="9"/>
      <c r="Q6" s="9"/>
    </row>
    <row r="7" spans="1:18" x14ac:dyDescent="0.3">
      <c r="A7" t="s">
        <v>538</v>
      </c>
      <c r="B7" s="8">
        <f>SUM(SalesData!V2:V201)/SUM(SalesData!T2:T201)</f>
        <v>0.26034958159619626</v>
      </c>
    </row>
    <row r="8" spans="1:18" x14ac:dyDescent="0.3">
      <c r="A8" t="s">
        <v>539</v>
      </c>
      <c r="B8" s="8">
        <f>AVERAGE(SalesData!S2:S201)</f>
        <v>10.6</v>
      </c>
    </row>
    <row r="9" spans="1:18" x14ac:dyDescent="0.3">
      <c r="D9" s="10" t="s">
        <v>518</v>
      </c>
      <c r="E9" s="10"/>
      <c r="F9" s="10"/>
      <c r="H9" s="10" t="s">
        <v>519</v>
      </c>
      <c r="I9" s="10"/>
      <c r="J9" s="10"/>
      <c r="L9" s="10" t="s">
        <v>520</v>
      </c>
      <c r="M9" s="10"/>
      <c r="N9" s="10"/>
      <c r="P9" s="10" t="s">
        <v>521</v>
      </c>
      <c r="Q9" s="10"/>
      <c r="R9" s="10"/>
    </row>
    <row r="10" spans="1:18" x14ac:dyDescent="0.3">
      <c r="D10" s="10"/>
      <c r="E10" s="10"/>
      <c r="F10" s="10"/>
      <c r="H10" s="10"/>
      <c r="I10" s="10"/>
      <c r="J10" s="10"/>
      <c r="L10" s="10"/>
      <c r="M10" s="10"/>
      <c r="N10" s="10"/>
      <c r="P10" s="10"/>
      <c r="Q10" s="10"/>
      <c r="R10" s="10"/>
    </row>
    <row r="11" spans="1:18" x14ac:dyDescent="0.3">
      <c r="D11" s="11">
        <f>GETPIVOTDATA("Sales",KPI!$A$3)</f>
        <v>707605.90000000014</v>
      </c>
      <c r="E11" s="12"/>
      <c r="F11" s="12"/>
      <c r="H11" s="11">
        <f>GETPIVOTDATA("Sum of Cost",KPI!$A$3)</f>
        <v>523381</v>
      </c>
      <c r="I11" s="12"/>
      <c r="J11" s="12"/>
      <c r="L11" s="11">
        <f>GETPIVOTDATA("Sum of Profit",KPI!$A$3)</f>
        <v>184224.89999999994</v>
      </c>
      <c r="M11" s="12"/>
      <c r="N11" s="12"/>
      <c r="P11" s="13">
        <f>GETPIVOTDATA("Count of Order ID",KPI!$A$3)</f>
        <v>200</v>
      </c>
      <c r="Q11" s="13"/>
      <c r="R11" s="13"/>
    </row>
    <row r="12" spans="1:18" x14ac:dyDescent="0.3">
      <c r="D12" s="12"/>
      <c r="E12" s="12"/>
      <c r="F12" s="12"/>
      <c r="H12" s="12"/>
      <c r="I12" s="12"/>
      <c r="J12" s="12"/>
      <c r="L12" s="12"/>
      <c r="M12" s="12"/>
      <c r="N12" s="12"/>
      <c r="P12" s="13"/>
      <c r="Q12" s="13"/>
      <c r="R12" s="13"/>
    </row>
    <row r="15" spans="1:18" x14ac:dyDescent="0.3">
      <c r="F15" s="14" t="s">
        <v>537</v>
      </c>
      <c r="G15" s="14"/>
      <c r="H15" s="14"/>
      <c r="J15" s="14" t="s">
        <v>538</v>
      </c>
      <c r="K15" s="14"/>
      <c r="L15" s="14"/>
      <c r="N15" s="14" t="s">
        <v>540</v>
      </c>
      <c r="O15" s="14"/>
      <c r="P15" s="14"/>
    </row>
    <row r="16" spans="1:18" x14ac:dyDescent="0.3">
      <c r="F16" s="14"/>
      <c r="G16" s="14"/>
      <c r="H16" s="14"/>
      <c r="J16" s="14"/>
      <c r="K16" s="14"/>
      <c r="L16" s="14"/>
      <c r="N16" s="14"/>
      <c r="O16" s="14"/>
      <c r="P16" s="14"/>
    </row>
    <row r="17" spans="6:16" x14ac:dyDescent="0.3">
      <c r="F17" s="15">
        <f>GETPIVOTDATA("Average of Sales2",KPI!$A$3)</f>
        <v>3538.0295000000006</v>
      </c>
      <c r="G17" s="16"/>
      <c r="H17" s="16"/>
      <c r="J17" s="15">
        <f>B7</f>
        <v>0.26034958159619626</v>
      </c>
      <c r="K17" s="16"/>
      <c r="L17" s="16"/>
      <c r="N17" s="15">
        <f>GETPIVOTDATA("Average of Discount %",KPI!$A$3)</f>
        <v>10.6</v>
      </c>
      <c r="O17" s="16"/>
      <c r="P17" s="16"/>
    </row>
    <row r="18" spans="6:16" x14ac:dyDescent="0.3">
      <c r="F18" s="16"/>
      <c r="G18" s="16"/>
      <c r="H18" s="16"/>
      <c r="J18" s="16"/>
      <c r="K18" s="16"/>
      <c r="L18" s="16"/>
      <c r="N18" s="16"/>
      <c r="O18" s="16"/>
      <c r="P18" s="16"/>
    </row>
  </sheetData>
  <mergeCells count="15">
    <mergeCell ref="F15:H16"/>
    <mergeCell ref="F17:H18"/>
    <mergeCell ref="J15:L16"/>
    <mergeCell ref="J17:L18"/>
    <mergeCell ref="N15:P16"/>
    <mergeCell ref="N17:P18"/>
    <mergeCell ref="E1:Q6"/>
    <mergeCell ref="L9:N10"/>
    <mergeCell ref="L11:N12"/>
    <mergeCell ref="P9:R10"/>
    <mergeCell ref="P11:R12"/>
    <mergeCell ref="D9:F10"/>
    <mergeCell ref="D11:F12"/>
    <mergeCell ref="H9:J10"/>
    <mergeCell ref="H11:J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CEB18-AACA-4BBF-9274-BBCFF27022CB}">
  <dimension ref="A3:B8"/>
  <sheetViews>
    <sheetView workbookViewId="0">
      <selection activeCell="H23" sqref="H23"/>
    </sheetView>
  </sheetViews>
  <sheetFormatPr defaultRowHeight="14.4" x14ac:dyDescent="0.3"/>
  <cols>
    <col min="1" max="1" width="12.5546875" bestFit="1" customWidth="1"/>
    <col min="2" max="2" width="11.6640625" bestFit="1" customWidth="1"/>
  </cols>
  <sheetData>
    <row r="3" spans="1:2" x14ac:dyDescent="0.3">
      <c r="A3" s="5" t="s">
        <v>522</v>
      </c>
      <c r="B3" t="s">
        <v>523</v>
      </c>
    </row>
    <row r="4" spans="1:2" x14ac:dyDescent="0.3">
      <c r="A4" s="6" t="s">
        <v>52</v>
      </c>
      <c r="B4" s="3">
        <v>149394.44999999998</v>
      </c>
    </row>
    <row r="5" spans="1:2" x14ac:dyDescent="0.3">
      <c r="A5" s="6" t="s">
        <v>62</v>
      </c>
      <c r="B5" s="3">
        <v>138937.64999999997</v>
      </c>
    </row>
    <row r="6" spans="1:2" x14ac:dyDescent="0.3">
      <c r="A6" s="6" t="s">
        <v>40</v>
      </c>
      <c r="B6" s="3">
        <v>122270.9</v>
      </c>
    </row>
    <row r="7" spans="1:2" x14ac:dyDescent="0.3">
      <c r="A7" s="6" t="s">
        <v>26</v>
      </c>
      <c r="B7" s="3">
        <v>156242.6</v>
      </c>
    </row>
    <row r="8" spans="1:2" x14ac:dyDescent="0.3">
      <c r="A8" s="6" t="s">
        <v>91</v>
      </c>
      <c r="B8" s="3">
        <v>140760.29999999999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6DE9-8CFD-4F5B-91AC-A59216F4E8FC}">
  <dimension ref="A3:B6"/>
  <sheetViews>
    <sheetView workbookViewId="0">
      <selection activeCell="J24" sqref="J24"/>
    </sheetView>
  </sheetViews>
  <sheetFormatPr defaultRowHeight="14.4" x14ac:dyDescent="0.3"/>
  <cols>
    <col min="1" max="1" width="12.5546875" bestFit="1" customWidth="1"/>
    <col min="2" max="2" width="11.6640625" bestFit="1" customWidth="1"/>
  </cols>
  <sheetData>
    <row r="3" spans="1:2" x14ac:dyDescent="0.3">
      <c r="A3" s="5" t="s">
        <v>522</v>
      </c>
      <c r="B3" t="s">
        <v>523</v>
      </c>
    </row>
    <row r="4" spans="1:2" x14ac:dyDescent="0.3">
      <c r="A4" s="6" t="s">
        <v>66</v>
      </c>
      <c r="B4" s="3">
        <v>188555.35</v>
      </c>
    </row>
    <row r="5" spans="1:2" x14ac:dyDescent="0.3">
      <c r="A5" s="6" t="s">
        <v>33</v>
      </c>
      <c r="B5" s="3">
        <v>230875.75000000003</v>
      </c>
    </row>
    <row r="6" spans="1:2" x14ac:dyDescent="0.3">
      <c r="A6" s="6" t="s">
        <v>44</v>
      </c>
      <c r="B6" s="3">
        <v>288174.79999999993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4843-25FC-4CA2-BF37-BABED122DA72}">
  <dimension ref="A3:B5"/>
  <sheetViews>
    <sheetView workbookViewId="0">
      <selection activeCell="L25" sqref="L25"/>
    </sheetView>
  </sheetViews>
  <sheetFormatPr defaultRowHeight="14.4" x14ac:dyDescent="0.3"/>
  <cols>
    <col min="1" max="1" width="12.5546875" bestFit="1" customWidth="1"/>
    <col min="2" max="2" width="11.6640625" bestFit="1" customWidth="1"/>
  </cols>
  <sheetData>
    <row r="3" spans="1:2" x14ac:dyDescent="0.3">
      <c r="A3" s="5" t="s">
        <v>522</v>
      </c>
      <c r="B3" t="s">
        <v>523</v>
      </c>
    </row>
    <row r="4" spans="1:2" x14ac:dyDescent="0.3">
      <c r="A4" s="6" t="s">
        <v>34</v>
      </c>
      <c r="B4" s="3">
        <v>371859.0500000001</v>
      </c>
    </row>
    <row r="5" spans="1:2" x14ac:dyDescent="0.3">
      <c r="A5" s="6" t="s">
        <v>45</v>
      </c>
      <c r="B5" s="3">
        <v>335746.85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8267-AC2D-494C-9E17-F25059B2FFE5}">
  <dimension ref="A3:B15"/>
  <sheetViews>
    <sheetView workbookViewId="0">
      <selection activeCell="B8" sqref="B8"/>
    </sheetView>
  </sheetViews>
  <sheetFormatPr defaultRowHeight="14.4" x14ac:dyDescent="0.3"/>
  <cols>
    <col min="1" max="1" width="12.5546875" bestFit="1" customWidth="1"/>
    <col min="2" max="2" width="11.6640625" bestFit="1" customWidth="1"/>
  </cols>
  <sheetData>
    <row r="3" spans="1:2" x14ac:dyDescent="0.3">
      <c r="A3" s="5" t="s">
        <v>522</v>
      </c>
      <c r="B3" t="s">
        <v>523</v>
      </c>
    </row>
    <row r="4" spans="1:2" x14ac:dyDescent="0.3">
      <c r="A4" s="6" t="s">
        <v>525</v>
      </c>
      <c r="B4" s="3">
        <v>78034.849999999991</v>
      </c>
    </row>
    <row r="5" spans="1:2" x14ac:dyDescent="0.3">
      <c r="A5" s="6" t="s">
        <v>526</v>
      </c>
      <c r="B5" s="3">
        <v>47629.65</v>
      </c>
    </row>
    <row r="6" spans="1:2" x14ac:dyDescent="0.3">
      <c r="A6" s="6" t="s">
        <v>527</v>
      </c>
      <c r="B6" s="3">
        <v>89172.9</v>
      </c>
    </row>
    <row r="7" spans="1:2" x14ac:dyDescent="0.3">
      <c r="A7" s="6" t="s">
        <v>528</v>
      </c>
      <c r="B7" s="3">
        <v>36000.800000000003</v>
      </c>
    </row>
    <row r="8" spans="1:2" x14ac:dyDescent="0.3">
      <c r="A8" s="6" t="s">
        <v>529</v>
      </c>
      <c r="B8" s="3">
        <v>63525.100000000006</v>
      </c>
    </row>
    <row r="9" spans="1:2" x14ac:dyDescent="0.3">
      <c r="A9" s="6" t="s">
        <v>530</v>
      </c>
      <c r="B9" s="3">
        <v>36488.300000000003</v>
      </c>
    </row>
    <row r="10" spans="1:2" x14ac:dyDescent="0.3">
      <c r="A10" s="6" t="s">
        <v>531</v>
      </c>
      <c r="B10" s="3">
        <v>71423.8</v>
      </c>
    </row>
    <row r="11" spans="1:2" x14ac:dyDescent="0.3">
      <c r="A11" s="6" t="s">
        <v>532</v>
      </c>
      <c r="B11" s="3">
        <v>74943.399999999994</v>
      </c>
    </row>
    <row r="12" spans="1:2" x14ac:dyDescent="0.3">
      <c r="A12" s="6" t="s">
        <v>533</v>
      </c>
      <c r="B12" s="3">
        <v>22611.300000000003</v>
      </c>
    </row>
    <row r="13" spans="1:2" x14ac:dyDescent="0.3">
      <c r="A13" s="6" t="s">
        <v>534</v>
      </c>
      <c r="B13" s="3">
        <v>92009.25</v>
      </c>
    </row>
    <row r="14" spans="1:2" x14ac:dyDescent="0.3">
      <c r="A14" s="6" t="s">
        <v>535</v>
      </c>
      <c r="B14" s="3">
        <v>39292.050000000003</v>
      </c>
    </row>
    <row r="15" spans="1:2" x14ac:dyDescent="0.3">
      <c r="A15" s="6" t="s">
        <v>536</v>
      </c>
      <c r="B15" s="3">
        <v>56474.499999999993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1BFF-155B-4D2C-86BB-54FF56BD85AC}">
  <dimension ref="A3:F4"/>
  <sheetViews>
    <sheetView workbookViewId="0">
      <selection activeCell="H19" sqref="H19"/>
    </sheetView>
  </sheetViews>
  <sheetFormatPr defaultRowHeight="14.4" x14ac:dyDescent="0.3"/>
  <cols>
    <col min="1" max="1" width="11.6640625" bestFit="1" customWidth="1"/>
    <col min="2" max="2" width="11.109375" bestFit="1" customWidth="1"/>
    <col min="3" max="3" width="15.88671875" bestFit="1" customWidth="1"/>
    <col min="4" max="4" width="12.109375" bestFit="1" customWidth="1"/>
    <col min="5" max="5" width="20" bestFit="1" customWidth="1"/>
    <col min="6" max="6" width="15.88671875" bestFit="1" customWidth="1"/>
    <col min="7" max="7" width="13.21875" bestFit="1" customWidth="1"/>
  </cols>
  <sheetData>
    <row r="3" spans="1:6" x14ac:dyDescent="0.3">
      <c r="A3" t="s">
        <v>523</v>
      </c>
      <c r="B3" t="s">
        <v>542</v>
      </c>
      <c r="C3" t="s">
        <v>544</v>
      </c>
      <c r="D3" t="s">
        <v>543</v>
      </c>
      <c r="E3" t="s">
        <v>546</v>
      </c>
      <c r="F3" t="s">
        <v>545</v>
      </c>
    </row>
    <row r="4" spans="1:6" x14ac:dyDescent="0.3">
      <c r="A4" s="17">
        <v>707605.90000000014</v>
      </c>
      <c r="B4" s="17">
        <v>523381</v>
      </c>
      <c r="C4" s="17">
        <v>200</v>
      </c>
      <c r="D4" s="17">
        <v>184224.89999999994</v>
      </c>
      <c r="E4" s="17">
        <v>10.6</v>
      </c>
      <c r="F4" s="17">
        <v>3538.0295000000006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SalesData</vt:lpstr>
      <vt:lpstr>PT_Brand</vt:lpstr>
      <vt:lpstr>PT_Category</vt:lpstr>
      <vt:lpstr>Dashboard</vt:lpstr>
      <vt:lpstr>PT_State</vt:lpstr>
      <vt:lpstr>PT_Payment Mode</vt:lpstr>
      <vt:lpstr>PT_Channel</vt:lpstr>
      <vt:lpstr>PT_Monthly</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sumit sumit</cp:lastModifiedBy>
  <dcterms:created xsi:type="dcterms:W3CDTF">2026-07-20T06:21:52Z</dcterms:created>
  <dcterms:modified xsi:type="dcterms:W3CDTF">2026-07-21T08:45:19Z</dcterms:modified>
</cp:coreProperties>
</file>